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8_{31F7326E-A1B8-4A43-B755-B6553877B6E6}" xr6:coauthVersionLast="47" xr6:coauthVersionMax="47" xr10:uidLastSave="{00000000-0000-0000-0000-000000000000}"/>
  <bookViews>
    <workbookView xWindow="-108" yWindow="-108" windowWidth="23256" windowHeight="13896" activeTab="4" xr2:uid="{44A31253-8AD9-419F-A679-287D45FDF845}"/>
  </bookViews>
  <sheets>
    <sheet name="Restaurant_Table_Cleaned_Data" sheetId="2" r:id="rId1"/>
    <sheet name="KPI Analysis" sheetId="1" r:id="rId2"/>
    <sheet name="Pivot Table" sheetId="5" r:id="rId3"/>
    <sheet name="Charts" sheetId="6" r:id="rId4"/>
    <sheet name="Dashboard" sheetId="8" r:id="rId5"/>
  </sheets>
  <definedNames>
    <definedName name="ExternalData_1" localSheetId="0" hidden="1">Restaurant_Table_Cleaned_Data!$A$1:$R$221</definedName>
    <definedName name="Restaurant_Table_Turnover">Restaurant_Table_Cleaned_Data!$H$16</definedName>
    <definedName name="Slicer_Meal_Type">#N/A</definedName>
    <definedName name="Slicer_Order_Date">#N/A</definedName>
    <definedName name="Slicer_Payment_Mode">#N/A</definedName>
    <definedName name="Slicer_Table_Area">#N/A</definedName>
    <definedName name="Slicer_Table_No">#N/A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 i="1" l="1"/>
  <c r="A15" i="1"/>
  <c r="A19" i="1"/>
  <c r="J188" i="2"/>
  <c r="J167" i="2"/>
  <c r="J88" i="2"/>
  <c r="J85" i="2"/>
  <c r="J33" i="2"/>
  <c r="J26" i="2"/>
  <c r="J12" i="2"/>
  <c r="J2" i="2"/>
  <c r="J3" i="2"/>
  <c r="J4" i="2"/>
  <c r="J5" i="2"/>
  <c r="J6" i="2"/>
  <c r="J7" i="2"/>
  <c r="J8" i="2"/>
  <c r="J9" i="2"/>
  <c r="J10" i="2"/>
  <c r="J11" i="2"/>
  <c r="J13" i="2"/>
  <c r="J14" i="2"/>
  <c r="J15" i="2"/>
  <c r="J16" i="2"/>
  <c r="J17" i="2"/>
  <c r="J18" i="2"/>
  <c r="J19" i="2"/>
  <c r="J20" i="2"/>
  <c r="J21" i="2"/>
  <c r="J22" i="2"/>
  <c r="J23" i="2"/>
  <c r="J24" i="2"/>
  <c r="J25" i="2"/>
  <c r="J27" i="2"/>
  <c r="J28" i="2"/>
  <c r="J29" i="2"/>
  <c r="J30" i="2"/>
  <c r="J31" i="2"/>
  <c r="J32"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6" i="2"/>
  <c r="J87"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8" i="2"/>
  <c r="J169" i="2"/>
  <c r="J170" i="2"/>
  <c r="J171" i="2"/>
  <c r="J172" i="2"/>
  <c r="J173" i="2"/>
  <c r="J174" i="2"/>
  <c r="J175" i="2"/>
  <c r="J176" i="2"/>
  <c r="J177" i="2"/>
  <c r="J178" i="2"/>
  <c r="J179" i="2"/>
  <c r="J180" i="2"/>
  <c r="J181" i="2"/>
  <c r="J182" i="2"/>
  <c r="J183" i="2"/>
  <c r="J184" i="2"/>
  <c r="J185" i="2"/>
  <c r="J186" i="2"/>
  <c r="J187"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A26" i="1"/>
  <c r="A23" i="1"/>
  <c r="A11" i="1"/>
  <c r="A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906034-8667-4926-A63A-9D1D88E2B2D9}" keepAlive="1" name="Query - Raw_Data" description="Connection to the 'Raw_Data' query in the workbook." type="5" refreshedVersion="7" background="1" saveData="1">
    <dbPr connection="Provider=Microsoft.Mashup.OleDb.1;Data Source=$Workbook$;Location=Raw_Data;Extended Properties=&quot;&quot;" command="SELECT * FROM [Raw_Data]"/>
  </connection>
</connections>
</file>

<file path=xl/sharedStrings.xml><?xml version="1.0" encoding="utf-8"?>
<sst xmlns="http://schemas.openxmlformats.org/spreadsheetml/2006/main" count="1518" uniqueCount="283">
  <si>
    <t>Order_ID</t>
  </si>
  <si>
    <t>Order_Date</t>
  </si>
  <si>
    <t>Order_Time</t>
  </si>
  <si>
    <t>Customer_Count</t>
  </si>
  <si>
    <t>Seating_Time</t>
  </si>
  <si>
    <t>Order_Placed_Time</t>
  </si>
  <si>
    <t>Food_Served_Time</t>
  </si>
  <si>
    <t>Bill_Time</t>
  </si>
  <si>
    <t>Table_Vacated_Time</t>
  </si>
  <si>
    <t>Total_Bill</t>
  </si>
  <si>
    <t>Payment_Mode</t>
  </si>
  <si>
    <t>Server</t>
  </si>
  <si>
    <t>Table_Area</t>
  </si>
  <si>
    <t>Customer_Rating</t>
  </si>
  <si>
    <t>Meal_Type</t>
  </si>
  <si>
    <t>Customer_Name</t>
  </si>
  <si>
    <t>Table_No</t>
  </si>
  <si>
    <t>ORD-1001</t>
  </si>
  <si>
    <t>Cash</t>
  </si>
  <si>
    <t>Neha</t>
  </si>
  <si>
    <t>Family Section</t>
  </si>
  <si>
    <t>Lunch</t>
  </si>
  <si>
    <t>Sneha</t>
  </si>
  <si>
    <t>ORD-1002</t>
  </si>
  <si>
    <t>Pooja</t>
  </si>
  <si>
    <t>Ac Hall</t>
  </si>
  <si>
    <t>Sagar</t>
  </si>
  <si>
    <t>ORD-1003</t>
  </si>
  <si>
    <t>Upi</t>
  </si>
  <si>
    <t>Dinner</t>
  </si>
  <si>
    <t>ORD-1004</t>
  </si>
  <si>
    <t>Card</t>
  </si>
  <si>
    <t>Priya</t>
  </si>
  <si>
    <t>Indoor</t>
  </si>
  <si>
    <t>Brunch</t>
  </si>
  <si>
    <t>ORD-1005</t>
  </si>
  <si>
    <t>Rohit</t>
  </si>
  <si>
    <t>ORD-1006</t>
  </si>
  <si>
    <t>Vikram</t>
  </si>
  <si>
    <t>Akshay</t>
  </si>
  <si>
    <t>ORD-1007</t>
  </si>
  <si>
    <t>Outdoor</t>
  </si>
  <si>
    <t>Kunal</t>
  </si>
  <si>
    <t>ORD-1008</t>
  </si>
  <si>
    <t>Amit</t>
  </si>
  <si>
    <t>ORD-1009</t>
  </si>
  <si>
    <t>ORD-1010</t>
  </si>
  <si>
    <t>Rohan</t>
  </si>
  <si>
    <t>Megha</t>
  </si>
  <si>
    <t>ORD-1011</t>
  </si>
  <si>
    <t>ORD-1012</t>
  </si>
  <si>
    <t>ORD-1013</t>
  </si>
  <si>
    <t>ORD-1014</t>
  </si>
  <si>
    <t>Rahul</t>
  </si>
  <si>
    <t>ORD-1015</t>
  </si>
  <si>
    <t>ORD-1016</t>
  </si>
  <si>
    <t>ORD-1017</t>
  </si>
  <si>
    <t>ORD-1018</t>
  </si>
  <si>
    <t>ORD-1019</t>
  </si>
  <si>
    <t>Sahil</t>
  </si>
  <si>
    <t>ORD-1020</t>
  </si>
  <si>
    <t>ORD-1021</t>
  </si>
  <si>
    <t>ORD-1022</t>
  </si>
  <si>
    <t>ORD-1023</t>
  </si>
  <si>
    <t>ORD-1024</t>
  </si>
  <si>
    <t>ORD-1025</t>
  </si>
  <si>
    <t>Vivek</t>
  </si>
  <si>
    <t>ORD-1026</t>
  </si>
  <si>
    <t>ORD-1027</t>
  </si>
  <si>
    <t>ORD-1028</t>
  </si>
  <si>
    <t>ORD-1029</t>
  </si>
  <si>
    <t>ORD-1030</t>
  </si>
  <si>
    <t>ORD-1031</t>
  </si>
  <si>
    <t>ORD-1032</t>
  </si>
  <si>
    <t>ORD-1033</t>
  </si>
  <si>
    <t>ORD-1034</t>
  </si>
  <si>
    <t>ORD-1035</t>
  </si>
  <si>
    <t>ORD-1036</t>
  </si>
  <si>
    <t>ORD-1037</t>
  </si>
  <si>
    <t>ORD-1038</t>
  </si>
  <si>
    <t>ORD-1039</t>
  </si>
  <si>
    <t>Nikita</t>
  </si>
  <si>
    <t>ORD-1040</t>
  </si>
  <si>
    <t>ORD-1041</t>
  </si>
  <si>
    <t>ORD-1042</t>
  </si>
  <si>
    <t>ORD-1043</t>
  </si>
  <si>
    <t>ORD-1044</t>
  </si>
  <si>
    <t>ORD-1045</t>
  </si>
  <si>
    <t>ORD-1046</t>
  </si>
  <si>
    <t>ORD-1047</t>
  </si>
  <si>
    <t>ORD-1049</t>
  </si>
  <si>
    <t>ORD-1050</t>
  </si>
  <si>
    <t>Anjali</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</si>
  <si>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</si>
  <si>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</si>
  <si>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</si>
  <si>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</si>
  <si>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</si>
  <si>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</si>
  <si>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</si>
  <si>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</si>
  <si>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</si>
  <si>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</si>
  <si>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</si>
  <si>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</si>
  <si>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</si>
  <si>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</si>
  <si>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</si>
  <si>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</si>
  <si>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</si>
  <si>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</si>
  <si>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</si>
  <si>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</si>
  <si>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</si>
  <si>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</si>
  <si>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</si>
  <si>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</si>
  <si>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</si>
  <si>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</si>
  <si>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</si>
  <si>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</si>
  <si>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</si>
  <si>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</si>
  <si>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</si>
  <si>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</si>
  <si>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</si>
  <si>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</si>
  <si>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</si>
  <si>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</si>
  <si>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</si>
  <si>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</si>
  <si>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</si>
  <si>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</si>
  <si>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</si>
  <si>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</si>
  <si>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</si>
  <si>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</si>
  <si>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</si>
  <si>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</si>
  <si>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</si>
  <si>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</si>
  <si>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</si>
  <si>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</si>
  <si>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</si>
  <si>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</si>
  <si>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</si>
  <si>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</si>
  <si>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</si>
  <si>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</si>
  <si>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</si>
  <si>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</si>
  <si>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</si>
  <si>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</si>
  <si>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</si>
  <si>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</si>
  <si>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</si>
  <si>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</si>
  <si>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</si>
  <si>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</si>
  <si>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</si>
  <si>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</si>
  <si>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</si>
  <si>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</si>
  <si>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</si>
  <si>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</si>
  <si>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</si>
  <si>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</si>
  <si>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</si>
  <si>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</si>
  <si>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</si>
  <si>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</si>
  <si>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</si>
  <si>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</si>
  <si>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</si>
  <si>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</si>
  <si>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</si>
  <si>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</si>
  <si>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</si>
  <si>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</si>
  <si>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</si>
  <si>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</si>
  <si>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</si>
  <si>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</si>
  <si>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</si>
  <si>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</si>
  <si>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</si>
  <si>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</si>
  <si>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</si>
  <si>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</si>
  <si>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</si>
  <si>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</si>
  <si>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</si>
  <si>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</si>
  <si>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</si>
  <si>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</si>
  <si>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</si>
  <si>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</si>
  <si>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</si>
  <si>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</si>
  <si>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</si>
  <si>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</si>
  <si>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</si>
  <si>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</si>
  <si>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</si>
  <si>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</si>
  <si>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</si>
  <si>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</si>
  <si>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</si>
  <si>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</si>
  <si>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</si>
  <si>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</si>
  <si>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</si>
  <si>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</si>
  <si>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</si>
  <si>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</si>
  <si>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</si>
  <si>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</si>
  <si>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</si>
  <si>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</si>
  <si>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</si>
  <si>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Unknown</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</si>
  <si>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</si>
  <si>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</si>
  <si>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</si>
  <si>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</si>
  <si>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</si>
  <si>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</si>
  <si>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</si>
  <si>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</si>
  <si>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</si>
  <si>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</si>
  <si>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</si>
  <si>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</si>
  <si>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</si>
  <si>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</si>
  <si>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</si>
  <si>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</si>
  <si>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</si>
  <si>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</si>
  <si>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</si>
  <si>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</si>
  <si>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</si>
  <si>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</si>
  <si>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</si>
  <si>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</si>
  <si>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</si>
  <si>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</si>
  <si>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</si>
  <si>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</si>
  <si>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</si>
  <si>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</si>
  <si>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</si>
  <si>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</si>
  <si>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</si>
  <si>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</si>
  <si>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</si>
  <si>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</si>
  <si>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</si>
  <si>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</si>
  <si>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</si>
  <si>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</si>
  <si>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</si>
  <si>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</si>
  <si>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Sum of Total_Bill</t>
  </si>
  <si>
    <t>Total Revenue</t>
  </si>
  <si>
    <t>Total Orders</t>
  </si>
  <si>
    <t>Total Customer</t>
  </si>
  <si>
    <t>Average Bill</t>
  </si>
  <si>
    <t>Average Customer Rating</t>
  </si>
  <si>
    <t>Average Table Turnover Time</t>
  </si>
  <si>
    <t xml:space="preserve"> Table Turnover Time</t>
  </si>
  <si>
    <t>Table Turnover Rate</t>
  </si>
  <si>
    <t>Row Labels</t>
  </si>
  <si>
    <t>Count of Order_ID</t>
  </si>
  <si>
    <t>Average of Total_Bill</t>
  </si>
  <si>
    <t>Average of  Table Turnover Time</t>
  </si>
  <si>
    <t>Sum of Customer_Count</t>
  </si>
  <si>
    <t>1</t>
  </si>
  <si>
    <t>5</t>
  </si>
  <si>
    <t>2</t>
  </si>
  <si>
    <t>3</t>
  </si>
  <si>
    <t>4</t>
  </si>
  <si>
    <t>Unknown2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</si>
</sst>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F400]h:mm:ss\ AM/PM"/>
    <numFmt numFmtId="165" formatCode="dd/mm/yyyy"/>
    <numFmt numFmtId="166" formatCode="[h]:mm"/>
    <numFmt numFmtId="167" formatCode="&quot;₹&quot;\ #,##0.00"/>
  </numFmts>
  <fonts count="4" x14ac:knownFonts="1">
    <font>
      <sz val="11"/>
      <color theme="1"/>
      <name val="Century Gothic"/>
      <family val="2"/>
      <scheme val="minor"/>
    </font>
    <font>
      <sz val="8"/>
      <name val="Century Gothic"/>
      <family val="2"/>
      <scheme val="minor"/>
    </font>
    <font>
      <sz val="9"/>
      <color theme="1"/>
      <name val="Century Gothic"/>
      <family val="2"/>
      <scheme val="minor"/>
    </font>
    <font>
      <sz val="11"/>
      <color theme="1"/>
      <name val="Century Gothic"/>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2">
    <xf numFmtId="0" fontId="0" fillId="0" borderId="0"/>
    <xf numFmtId="44" fontId="3" fillId="0" borderId="0" applyFont="0" applyFill="0" applyBorder="0" applyAlignment="0" applyProtection="0"/>
  </cellStyleXfs>
  <cellXfs count="13">
    <xf numFmtId="0" fontId="0" fillId="0" borderId="0" xfId="0"/>
    <xf numFmtId="0" fontId="0" fillId="0" borderId="0" xfId="0" applyNumberFormat="1"/>
    <xf numFmtId="164" fontId="0" fillId="0" borderId="0" xfId="0" applyNumberFormat="1"/>
    <xf numFmtId="22" fontId="0" fillId="0" borderId="0" xfId="0" applyNumberFormat="1"/>
    <xf numFmtId="165" fontId="0" fillId="0" borderId="0" xfId="0" applyNumberFormat="1"/>
    <xf numFmtId="2" fontId="0" fillId="0" borderId="0" xfId="0" applyNumberFormat="1"/>
    <xf numFmtId="166" fontId="0" fillId="0" borderId="0" xfId="0" applyNumberFormat="1"/>
    <xf numFmtId="0" fontId="0" fillId="0" borderId="0" xfId="0" pivotButton="1"/>
    <xf numFmtId="0" fontId="0" fillId="0" borderId="0" xfId="0" applyAlignment="1">
      <alignment horizontal="left"/>
    </xf>
    <xf numFmtId="165" fontId="0" fillId="0" borderId="0" xfId="0" applyNumberFormat="1" applyAlignment="1">
      <alignment horizontal="left"/>
    </xf>
    <xf numFmtId="0" fontId="2" fillId="2" borderId="0" xfId="0" applyFont="1" applyFill="1"/>
    <xf numFmtId="44" fontId="2" fillId="2" borderId="0" xfId="1" applyFont="1" applyFill="1"/>
    <xf numFmtId="167" fontId="0" fillId="0" borderId="0" xfId="0" applyNumberFormat="1"/>
  </cellXfs>
  <cellStyles count="2">
    <cellStyle name="Currency" xfId="1" builtinId="4"/>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h]:mm"/>
    </dxf>
    <dxf>
      <numFmt numFmtId="27" formatCode="m/d/yyyy\ h:mm"/>
    </dxf>
    <dxf>
      <numFmt numFmtId="27" formatCode="m/d/yyyy\ h:mm"/>
    </dxf>
    <dxf>
      <numFmt numFmtId="27" formatCode="m/d/yyyy\ h:mm"/>
    </dxf>
    <dxf>
      <numFmt numFmtId="27" formatCode="m/d/yyyy\ h:mm"/>
    </dxf>
    <dxf>
      <numFmt numFmtId="27" formatCode="m/d/yyyy\ h:mm"/>
    </dxf>
    <dxf>
      <numFmt numFmtId="164" formatCode="[$-F400]h:mm:ss\ AM/PM"/>
    </dxf>
    <dxf>
      <numFmt numFmtId="165" formatCode="dd/mm/yyyy"/>
    </dxf>
    <dxf>
      <numFmt numFmtId="0" formatCode="General"/>
    </dxf>
    <dxf>
      <font>
        <b/>
        <i val="0"/>
        <sz val="16"/>
        <color theme="0"/>
      </font>
      <border>
        <bottom style="thin">
          <color theme="0"/>
        </bottom>
        <vertical/>
        <horizontal/>
      </border>
    </dxf>
    <dxf>
      <font>
        <color theme="1"/>
      </font>
      <fill>
        <patternFill>
          <bgColor rgb="FF073673"/>
        </patternFill>
      </fill>
      <border diagonalUp="0" diagonalDown="0">
        <left/>
        <right/>
        <top/>
        <bottom/>
        <vertical/>
        <horizontal/>
      </border>
    </dxf>
    <dxf>
      <font>
        <b/>
        <i val="0"/>
        <sz val="11"/>
        <color theme="0"/>
      </font>
    </dxf>
    <dxf>
      <font>
        <b/>
        <i val="0"/>
        <sz val="11"/>
        <color theme="0"/>
      </font>
      <fill>
        <patternFill>
          <bgColor theme="4" tint="-0.24994659260841701"/>
        </patternFill>
      </fill>
    </dxf>
    <dxf>
      <font>
        <b/>
        <i val="0"/>
      </font>
    </dxf>
    <dxf>
      <font>
        <sz val="11"/>
        <color theme="1"/>
      </font>
      <fill>
        <patternFill>
          <bgColor rgb="FF0C769E"/>
        </patternFill>
      </fill>
    </dxf>
    <dxf>
      <font>
        <b/>
        <i val="0"/>
      </font>
    </dxf>
    <dxf>
      <font>
        <sz val="11"/>
        <color theme="1"/>
      </font>
      <fill>
        <patternFill>
          <bgColor rgb="FF4AC0E5"/>
        </patternFill>
      </fill>
    </dxf>
  </dxfs>
  <tableStyles count="4" defaultTableStyle="TableStyleMedium2" defaultPivotStyle="PivotStyleLight16">
    <tableStyle name="Slicer Style 1" pivot="0" table="0" count="2" xr9:uid="{67435923-B39E-48C0-9DEE-E00F663CD3D6}">
      <tableStyleElement type="wholeTable" dxfId="22"/>
      <tableStyleElement type="headerRow" dxfId="21"/>
    </tableStyle>
    <tableStyle name="Slicer Style 2" pivot="0" table="0" count="5" xr9:uid="{4D1E13AB-210F-4F9A-92F5-51C0A97FEFC9}">
      <tableStyleElement type="wholeTable" dxfId="20"/>
      <tableStyleElement type="headerRow" dxfId="19"/>
    </tableStyle>
    <tableStyle name="Slicer Style 3" pivot="0" table="0" count="3" xr9:uid="{F62C54B2-A704-4584-B0E4-63646F22361A}">
      <tableStyleElement type="wholeTable" dxfId="18"/>
      <tableStyleElement type="headerRow" dxfId="17"/>
    </tableStyle>
    <tableStyle name="SlicerStyleLight1 2" pivot="0" table="0" count="10" xr9:uid="{63817265-50F8-4736-A161-FA88A79199A6}">
      <tableStyleElement type="wholeTable" dxfId="16"/>
      <tableStyleElement type="headerRow" dxfId="15"/>
    </tableStyle>
  </tableStyles>
  <colors>
    <mruColors>
      <color rgb="FF0C7698"/>
      <color rgb="FF4AC0E5"/>
      <color rgb="FF073673"/>
      <color rgb="FF0C769E"/>
      <color rgb="FF8DD5EA"/>
      <color rgb="FFDDF2FA"/>
      <color rgb="FF60A5FA"/>
      <color rgb="FF1E3A8A"/>
      <color rgb="FF5EEAD4"/>
      <color rgb="FFA3C6FF"/>
    </mruColors>
  </colors>
  <extLst>
    <ext xmlns:x14="http://schemas.microsoft.com/office/spreadsheetml/2009/9/main" uri="{46F421CA-312F-682f-3DD2-61675219B42D}">
      <x14:dxfs count="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4"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b/>
            <i val="0"/>
            <sz val="11"/>
          </font>
          <fill>
            <patternFill>
              <bgColor theme="1" tint="0.14996795556505021"/>
            </patternFill>
          </fill>
        </dxf>
        <dxf>
          <font>
            <b/>
            <i val="0"/>
            <sz val="11"/>
          </font>
          <fill>
            <patternFill>
              <bgColor rgb="FF0C7698"/>
            </patternFill>
          </fill>
        </dxf>
        <dxf>
          <font>
            <b/>
            <i val="0"/>
            <sz val="11"/>
          </font>
          <fill>
            <patternFill>
              <bgColor rgb="FF0C7698"/>
            </patternFill>
          </fill>
        </dxf>
        <dxf>
          <font>
            <b/>
            <i val="0"/>
            <sz val="11"/>
          </font>
          <fill>
            <patternFill>
              <bgColor rgb="FF0C7698"/>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1"/>
            <x14:slicerStyleElement type="unselectedItemWithNoData" dxfId="10"/>
            <x14:slicerStyleElement type="selectedItemWithData" dxfId="9"/>
          </x14:slicerStyleElements>
        </x14:slicerStyle>
        <x14:slicerStyle name="Slicer Style 3">
          <x14:slicerStyleElements>
            <x14:slicerStyleElement type="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[Restaurant_Table_Turnover_Analysis_Project1.xlsx]Pivot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Table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Table'!$C$9</c:f>
              <c:strCache>
                <c:ptCount val="1"/>
                <c:pt idx="0">
                  <c:v>Total</c:v>
                </c:pt>
              </c:strCache>
            </c:strRef>
          </c:tx>
          <c:spPr>
            <a:solidFill>
              <a:schemeClr val="accent1"/>
            </a:solidFill>
            <a:ln>
              <a:noFill/>
            </a:ln>
            <a:effectLst/>
          </c:spPr>
          <c:invertIfNegative val="0"/>
          <c:cat>
            <c:strRef>
              <c:f>'Pivot Table'!$B$10:$B$29</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 Table'!$C$10:$C$29</c:f>
              <c:numCache>
                <c:formatCode>General</c:formatCode>
                <c:ptCount val="20"/>
                <c:pt idx="0">
                  <c:v>15586.080000000002</c:v>
                </c:pt>
                <c:pt idx="1">
                  <c:v>28265.63</c:v>
                </c:pt>
                <c:pt idx="2">
                  <c:v>19659.29</c:v>
                </c:pt>
                <c:pt idx="3">
                  <c:v>14681.410000000002</c:v>
                </c:pt>
                <c:pt idx="4">
                  <c:v>21513.709999999995</c:v>
                </c:pt>
                <c:pt idx="5">
                  <c:v>7570.49</c:v>
                </c:pt>
                <c:pt idx="6">
                  <c:v>12760.580000000002</c:v>
                </c:pt>
                <c:pt idx="7">
                  <c:v>20968.809999999998</c:v>
                </c:pt>
                <c:pt idx="8">
                  <c:v>24488.89</c:v>
                </c:pt>
                <c:pt idx="9">
                  <c:v>20878.669999999998</c:v>
                </c:pt>
                <c:pt idx="10">
                  <c:v>16554.09</c:v>
                </c:pt>
                <c:pt idx="11">
                  <c:v>8904.36</c:v>
                </c:pt>
                <c:pt idx="12">
                  <c:v>14190.3</c:v>
                </c:pt>
                <c:pt idx="13">
                  <c:v>16408.86</c:v>
                </c:pt>
                <c:pt idx="14">
                  <c:v>22744.039999999997</c:v>
                </c:pt>
                <c:pt idx="15">
                  <c:v>13836.43</c:v>
                </c:pt>
                <c:pt idx="16">
                  <c:v>12325.659999999998</c:v>
                </c:pt>
                <c:pt idx="17">
                  <c:v>23699.390000000007</c:v>
                </c:pt>
                <c:pt idx="18">
                  <c:v>21515.260000000002</c:v>
                </c:pt>
                <c:pt idx="19">
                  <c:v>26160.66</c:v>
                </c:pt>
              </c:numCache>
            </c:numRef>
          </c:val>
          <c:extLst>
            <c:ext xmlns:c16="http://schemas.microsoft.com/office/drawing/2014/chart" uri="{C3380CC4-5D6E-409C-BE32-E72D297353CC}">
              <c16:uniqueId val="{00000006-1FCB-41ED-A98F-42E00F2209F3}"/>
            </c:ext>
          </c:extLst>
        </c:ser>
        <c:dLbls>
          <c:showLegendKey val="0"/>
          <c:showVal val="0"/>
          <c:showCatName val="0"/>
          <c:showSerName val="0"/>
          <c:showPercent val="0"/>
          <c:showBubbleSize val="0"/>
        </c:dLbls>
        <c:gapWidth val="219"/>
        <c:axId val="1347723376"/>
        <c:axId val="1347723792"/>
      </c:barChart>
      <c:catAx>
        <c:axId val="134772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723792"/>
        <c:crosses val="autoZero"/>
        <c:auto val="1"/>
        <c:lblAlgn val="ctr"/>
        <c:lblOffset val="100"/>
        <c:noMultiLvlLbl val="0"/>
      </c:catAx>
      <c:valAx>
        <c:axId val="134772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72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[Restaurant_Table_Turnover_Analysis_Project1.xlsx]Pivot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By Table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Table'!$F$9</c:f>
              <c:strCache>
                <c:ptCount val="1"/>
                <c:pt idx="0">
                  <c:v>Total</c:v>
                </c:pt>
              </c:strCache>
            </c:strRef>
          </c:tx>
          <c:spPr>
            <a:solidFill>
              <a:schemeClr val="accent1"/>
            </a:solidFill>
            <a:ln>
              <a:noFill/>
            </a:ln>
            <a:effectLst/>
          </c:spPr>
          <c:invertIfNegative val="0"/>
          <c:cat>
            <c:strRef>
              <c:f>'Pivot Table'!$E$10:$E$29</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 Table'!$F$10:$F$29</c:f>
              <c:numCache>
                <c:formatCode>General</c:formatCode>
                <c:ptCount val="20"/>
                <c:pt idx="0">
                  <c:v>10</c:v>
                </c:pt>
                <c:pt idx="1">
                  <c:v>14</c:v>
                </c:pt>
                <c:pt idx="2">
                  <c:v>14</c:v>
                </c:pt>
                <c:pt idx="3">
                  <c:v>8</c:v>
                </c:pt>
                <c:pt idx="4">
                  <c:v>14</c:v>
                </c:pt>
                <c:pt idx="5">
                  <c:v>7</c:v>
                </c:pt>
                <c:pt idx="6">
                  <c:v>8</c:v>
                </c:pt>
                <c:pt idx="7">
                  <c:v>14</c:v>
                </c:pt>
                <c:pt idx="8">
                  <c:v>14</c:v>
                </c:pt>
                <c:pt idx="9">
                  <c:v>11</c:v>
                </c:pt>
                <c:pt idx="10">
                  <c:v>10</c:v>
                </c:pt>
                <c:pt idx="11">
                  <c:v>5</c:v>
                </c:pt>
                <c:pt idx="12">
                  <c:v>8</c:v>
                </c:pt>
                <c:pt idx="13">
                  <c:v>11</c:v>
                </c:pt>
                <c:pt idx="14">
                  <c:v>13</c:v>
                </c:pt>
                <c:pt idx="15">
                  <c:v>8</c:v>
                </c:pt>
                <c:pt idx="16">
                  <c:v>7</c:v>
                </c:pt>
                <c:pt idx="17">
                  <c:v>15</c:v>
                </c:pt>
                <c:pt idx="18">
                  <c:v>11</c:v>
                </c:pt>
                <c:pt idx="19">
                  <c:v>18</c:v>
                </c:pt>
              </c:numCache>
            </c:numRef>
          </c:val>
          <c:extLst>
            <c:ext xmlns:c16="http://schemas.microsoft.com/office/drawing/2014/chart" uri="{C3380CC4-5D6E-409C-BE32-E72D297353CC}">
              <c16:uniqueId val="{00000001-5882-424C-BD38-9472F2D52F7B}"/>
            </c:ext>
          </c:extLst>
        </c:ser>
        <c:dLbls>
          <c:showLegendKey val="0"/>
          <c:showVal val="0"/>
          <c:showCatName val="0"/>
          <c:showSerName val="0"/>
          <c:showPercent val="0"/>
          <c:showBubbleSize val="0"/>
        </c:dLbls>
        <c:gapWidth val="219"/>
        <c:overlap val="-27"/>
        <c:axId val="1813226480"/>
        <c:axId val="1813222736"/>
      </c:barChart>
      <c:catAx>
        <c:axId val="181322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222736"/>
        <c:crosses val="autoZero"/>
        <c:auto val="1"/>
        <c:lblAlgn val="ctr"/>
        <c:lblOffset val="100"/>
        <c:noMultiLvlLbl val="0"/>
      </c:catAx>
      <c:valAx>
        <c:axId val="181322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226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[Restaurant_Table_Turnover_Analysis_Project1.xlsx]Pivot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Bill By Table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Table'!$I$9</c:f>
              <c:strCache>
                <c:ptCount val="1"/>
                <c:pt idx="0">
                  <c:v>Total</c:v>
                </c:pt>
              </c:strCache>
            </c:strRef>
          </c:tx>
          <c:spPr>
            <a:solidFill>
              <a:schemeClr val="accent1"/>
            </a:solidFill>
            <a:ln>
              <a:noFill/>
            </a:ln>
            <a:effectLst/>
          </c:spPr>
          <c:invertIfNegative val="0"/>
          <c:cat>
            <c:strRef>
              <c:f>'Pivot Table'!$H$10:$H$29</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 Table'!$I$10:$I$29</c:f>
              <c:numCache>
                <c:formatCode>General</c:formatCode>
                <c:ptCount val="20"/>
                <c:pt idx="0">
                  <c:v>1558.6080000000002</c:v>
                </c:pt>
                <c:pt idx="1">
                  <c:v>2018.9735714285714</c:v>
                </c:pt>
                <c:pt idx="2">
                  <c:v>1404.2350000000001</c:v>
                </c:pt>
                <c:pt idx="3">
                  <c:v>1835.1762500000002</c:v>
                </c:pt>
                <c:pt idx="4">
                  <c:v>1536.6935714285712</c:v>
                </c:pt>
                <c:pt idx="5">
                  <c:v>1081.4985714285715</c:v>
                </c:pt>
                <c:pt idx="6">
                  <c:v>1595.0725000000002</c:v>
                </c:pt>
                <c:pt idx="7">
                  <c:v>1612.9853846153844</c:v>
                </c:pt>
                <c:pt idx="8">
                  <c:v>1749.2064285714284</c:v>
                </c:pt>
                <c:pt idx="9">
                  <c:v>1898.060909090909</c:v>
                </c:pt>
                <c:pt idx="10">
                  <c:v>1655.4090000000001</c:v>
                </c:pt>
                <c:pt idx="11">
                  <c:v>1780.8720000000001</c:v>
                </c:pt>
                <c:pt idx="12">
                  <c:v>1773.7874999999999</c:v>
                </c:pt>
                <c:pt idx="13">
                  <c:v>1491.7145454545455</c:v>
                </c:pt>
                <c:pt idx="14">
                  <c:v>1749.5415384615383</c:v>
                </c:pt>
                <c:pt idx="15">
                  <c:v>1729.55375</c:v>
                </c:pt>
                <c:pt idx="16">
                  <c:v>1760.8085714285712</c:v>
                </c:pt>
                <c:pt idx="17">
                  <c:v>1579.9593333333337</c:v>
                </c:pt>
                <c:pt idx="18">
                  <c:v>1955.9327272727276</c:v>
                </c:pt>
                <c:pt idx="19">
                  <c:v>1538.8623529411764</c:v>
                </c:pt>
              </c:numCache>
            </c:numRef>
          </c:val>
          <c:extLst>
            <c:ext xmlns:c16="http://schemas.microsoft.com/office/drawing/2014/chart" uri="{C3380CC4-5D6E-409C-BE32-E72D297353CC}">
              <c16:uniqueId val="{00000001-B20E-476B-8372-280FE77D2DB0}"/>
            </c:ext>
          </c:extLst>
        </c:ser>
        <c:dLbls>
          <c:showLegendKey val="0"/>
          <c:showVal val="0"/>
          <c:showCatName val="0"/>
          <c:showSerName val="0"/>
          <c:showPercent val="0"/>
          <c:showBubbleSize val="0"/>
        </c:dLbls>
        <c:gapWidth val="182"/>
        <c:axId val="1498890160"/>
        <c:axId val="1498888912"/>
      </c:barChart>
      <c:catAx>
        <c:axId val="1498890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888912"/>
        <c:crosses val="autoZero"/>
        <c:auto val="1"/>
        <c:lblAlgn val="ctr"/>
        <c:lblOffset val="100"/>
        <c:noMultiLvlLbl val="0"/>
      </c:catAx>
      <c:valAx>
        <c:axId val="1498888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890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[Restaurant_Table_Turnover_Analysis_Project1.xlsx]Pivot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Table Turnover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Table'!$C$34</c:f>
              <c:strCache>
                <c:ptCount val="1"/>
                <c:pt idx="0">
                  <c:v>Total</c:v>
                </c:pt>
              </c:strCache>
            </c:strRef>
          </c:tx>
          <c:spPr>
            <a:solidFill>
              <a:schemeClr val="accent1"/>
            </a:solidFill>
            <a:ln>
              <a:noFill/>
            </a:ln>
            <a:effectLst/>
          </c:spPr>
          <c:invertIfNegative val="0"/>
          <c:cat>
            <c:strRef>
              <c:f>'Pivot Table'!$B$35:$B$54</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 Table'!$C$35:$C$54</c:f>
              <c:numCache>
                <c:formatCode>[h]:mm</c:formatCode>
                <c:ptCount val="20"/>
                <c:pt idx="0">
                  <c:v>6.236111111111111E-2</c:v>
                </c:pt>
                <c:pt idx="1">
                  <c:v>5.6448412698412706E-2</c:v>
                </c:pt>
                <c:pt idx="2">
                  <c:v>6.1954365079365081E-2</c:v>
                </c:pt>
                <c:pt idx="3">
                  <c:v>6.5476190476190479E-2</c:v>
                </c:pt>
                <c:pt idx="4">
                  <c:v>6.0565476190476197E-2</c:v>
                </c:pt>
                <c:pt idx="5">
                  <c:v>6.9940476190476192E-2</c:v>
                </c:pt>
                <c:pt idx="6">
                  <c:v>6.3454861111111108E-2</c:v>
                </c:pt>
                <c:pt idx="7">
                  <c:v>5.9882478632478635E-2</c:v>
                </c:pt>
                <c:pt idx="8">
                  <c:v>6.760912698412698E-2</c:v>
                </c:pt>
                <c:pt idx="9">
                  <c:v>7.0328282828282837E-2</c:v>
                </c:pt>
                <c:pt idx="10">
                  <c:v>6.2708333333333338E-2</c:v>
                </c:pt>
                <c:pt idx="11">
                  <c:v>6.2638888888888883E-2</c:v>
                </c:pt>
                <c:pt idx="12">
                  <c:v>6.3020833333333331E-2</c:v>
                </c:pt>
                <c:pt idx="13">
                  <c:v>6.4204545454545459E-2</c:v>
                </c:pt>
                <c:pt idx="14">
                  <c:v>6.2393162393162394E-2</c:v>
                </c:pt>
                <c:pt idx="15">
                  <c:v>5.6597222222222222E-2</c:v>
                </c:pt>
                <c:pt idx="16">
                  <c:v>5.1488095238095236E-2</c:v>
                </c:pt>
                <c:pt idx="17">
                  <c:v>6.236111111111111E-2</c:v>
                </c:pt>
                <c:pt idx="18">
                  <c:v>6.483585858585858E-2</c:v>
                </c:pt>
                <c:pt idx="19">
                  <c:v>5.949074074074074E-2</c:v>
                </c:pt>
              </c:numCache>
            </c:numRef>
          </c:val>
          <c:extLst>
            <c:ext xmlns:c16="http://schemas.microsoft.com/office/drawing/2014/chart" uri="{C3380CC4-5D6E-409C-BE32-E72D297353CC}">
              <c16:uniqueId val="{00000001-9E78-45D1-B407-2D38DEC84F27}"/>
            </c:ext>
          </c:extLst>
        </c:ser>
        <c:dLbls>
          <c:showLegendKey val="0"/>
          <c:showVal val="0"/>
          <c:showCatName val="0"/>
          <c:showSerName val="0"/>
          <c:showPercent val="0"/>
          <c:showBubbleSize val="0"/>
        </c:dLbls>
        <c:gapWidth val="182"/>
        <c:axId val="1368494592"/>
        <c:axId val="1368495008"/>
      </c:barChart>
      <c:catAx>
        <c:axId val="136849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495008"/>
        <c:crosses val="autoZero"/>
        <c:auto val="1"/>
        <c:lblAlgn val="ctr"/>
        <c:lblOffset val="100"/>
        <c:noMultiLvlLbl val="0"/>
      </c:catAx>
      <c:valAx>
        <c:axId val="1368495008"/>
        <c:scaling>
          <c:orientation val="minMax"/>
        </c:scaling>
        <c:delete val="0"/>
        <c:axPos val="b"/>
        <c:majorGridlines>
          <c:spPr>
            <a:ln w="9525" cap="flat" cmpd="sng" algn="ctr">
              <a:solidFill>
                <a:schemeClr val="tx1">
                  <a:lumMod val="15000"/>
                  <a:lumOff val="85000"/>
                </a:schemeClr>
              </a:solidFill>
              <a:round/>
            </a:ln>
            <a:effectLst/>
          </c:spPr>
        </c:majorGridlines>
        <c:numFmt formatCode="[h]:mm"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49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[Restaurant_Table_Turnover_Analysis_Project1.xlsx]Pivot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Meal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Table'!$F$34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60-4DA0-AA08-8A9CE1A1C0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60-4DA0-AA08-8A9CE1A1C0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60-4DA0-AA08-8A9CE1A1C08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Table'!$E$35:$E$37</c:f>
              <c:strCache>
                <c:ptCount val="3"/>
                <c:pt idx="0">
                  <c:v>Lunch</c:v>
                </c:pt>
                <c:pt idx="1">
                  <c:v>Dinner</c:v>
                </c:pt>
                <c:pt idx="2">
                  <c:v>Brunch</c:v>
                </c:pt>
              </c:strCache>
            </c:strRef>
          </c:cat>
          <c:val>
            <c:numRef>
              <c:f>'Pivot Table'!$F$35:$F$37</c:f>
              <c:numCache>
                <c:formatCode>General</c:formatCode>
                <c:ptCount val="3"/>
                <c:pt idx="0">
                  <c:v>135593.70000000001</c:v>
                </c:pt>
                <c:pt idx="1">
                  <c:v>120996.01000000001</c:v>
                </c:pt>
                <c:pt idx="2">
                  <c:v>106122.9</c:v>
                </c:pt>
              </c:numCache>
            </c:numRef>
          </c:val>
          <c:extLst>
            <c:ext xmlns:c16="http://schemas.microsoft.com/office/drawing/2014/chart" uri="{C3380CC4-5D6E-409C-BE32-E72D297353CC}">
              <c16:uniqueId val="{00000007-922A-4319-A7A4-BDA0888A04B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[Restaurant_Table_Turnover_Analysis_Project1.xlsx]Pivot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Payment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w="19050">
            <a:solidFill>
              <a:schemeClr val="lt1"/>
            </a:solidFill>
          </a:ln>
          <a:effectLst/>
        </c:spPr>
        <c:dLbl>
          <c:idx val="0"/>
          <c:layout>
            <c:manualLayout>
              <c:x val="2.7777777777777267E-3"/>
              <c:y val="-9.722222222222222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6.6666666666666666E-2"/>
              <c:y val="-4.2437781360066642E-1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7.2222222222222215E-2"/>
              <c:y val="-2.3148148148148192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1.9444444444444393E-2"/>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6.6666666666666666E-2"/>
              <c:y val="-4.2437781360066642E-1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1.9444444444444393E-2"/>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7.2222222222222215E-2"/>
              <c:y val="-2.3148148148148192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2.7777777777777267E-3"/>
              <c:y val="-9.722222222222222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w="6350">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7.5396825396825323E-2"/>
              <c:y val="0"/>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0500"/>
                    <a:gd name="adj2" fmla="val -11898"/>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dLbl>
          <c:idx val="0"/>
          <c:layout>
            <c:manualLayout>
              <c:x val="-8.3333333333333356E-2"/>
              <c:y val="-7.2463768115942689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2.7777777777777267E-3"/>
              <c:y val="-9.722222222222222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
              <c:y val="-0.1086956521739130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01EB25E-C435-446E-B7F8-3E955D1E60DF}" type="CATEGORYNAME">
                  <a:rPr lang="en-US"/>
                  <a:pPr>
                    <a:defRPr/>
                  </a:pPr>
                  <a:t>[CATEGORY NAME]</a:t>
                </a:fld>
                <a:r>
                  <a:rPr lang="en-US" baseline="0"/>
                  <a:t>
</a:t>
                </a:r>
                <a:fld id="{B78CA41C-257F-416C-9B75-EAE12EC04083}" type="PERCENTAGE">
                  <a:rPr lang="en-US" baseline="0"/>
                  <a:pPr>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595"/>
                    <a:gd name="adj2" fmla="val -99945"/>
                  </a:avLst>
                </a:prstGeom>
                <a:noFill/>
                <a:ln>
                  <a:noFill/>
                </a:ln>
              </c15:spPr>
              <c15:dlblFieldTable/>
              <c15:showDataLabelsRange val="0"/>
            </c:ext>
          </c:extLst>
        </c:dLbl>
      </c:pivotFmt>
    </c:pivotFmts>
    <c:plotArea>
      <c:layout/>
      <c:doughnutChart>
        <c:varyColors val="1"/>
        <c:ser>
          <c:idx val="0"/>
          <c:order val="0"/>
          <c:tx>
            <c:strRef>
              <c:f>'Pivot Table'!$I$34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82-4C71-9F4C-A032DA0677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82-4C71-9F4C-A032DA0677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82-4C71-9F4C-A032DA0677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982-4C71-9F4C-A032DA06778F}"/>
              </c:ext>
            </c:extLst>
          </c:dPt>
          <c:dLbls>
            <c:dLbl>
              <c:idx val="0"/>
              <c:layout>
                <c:manualLayout>
                  <c:x val="7.5396825396825323E-2"/>
                  <c:y val="0"/>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0500"/>
                        <a:gd name="adj2" fmla="val -11898"/>
                      </a:avLst>
                    </a:prstGeom>
                    <a:noFill/>
                    <a:ln>
                      <a:noFill/>
                    </a:ln>
                  </c15:spPr>
                </c:ext>
                <c:ext xmlns:c16="http://schemas.microsoft.com/office/drawing/2014/chart" uri="{C3380CC4-5D6E-409C-BE32-E72D297353CC}">
                  <c16:uniqueId val="{00000001-2982-4C71-9F4C-A032DA06778F}"/>
                </c:ext>
              </c:extLst>
            </c:dLbl>
            <c:dLbl>
              <c:idx val="2"/>
              <c:layout>
                <c:manualLayout>
                  <c:x val="-8.3333333333333356E-2"/>
                  <c:y val="-7.2463768115942689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2982-4C71-9F4C-A032DA06778F}"/>
                </c:ext>
              </c:extLst>
            </c:dLbl>
            <c:dLbl>
              <c:idx val="3"/>
              <c:layout>
                <c:manualLayout>
                  <c:x val="0"/>
                  <c:y val="-0.1086956521739130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01EB25E-C435-446E-B7F8-3E955D1E60DF}" type="CATEGORYNAME">
                      <a:rPr lang="en-US"/>
                      <a:pPr>
                        <a:defRPr/>
                      </a:pPr>
                      <a:t>[CATEGORY NAME]</a:t>
                    </a:fld>
                    <a:r>
                      <a:rPr lang="en-US" baseline="0"/>
                      <a:t>
</a:t>
                    </a:r>
                    <a:fld id="{B78CA41C-257F-416C-9B75-EAE12EC04083}" type="PERCENTAGE">
                      <a:rPr lang="en-US" baseline="0"/>
                      <a:pPr>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595"/>
                        <a:gd name="adj2" fmla="val -99945"/>
                      </a:avLst>
                    </a:prstGeom>
                    <a:noFill/>
                    <a:ln>
                      <a:noFill/>
                    </a:ln>
                  </c15:spPr>
                  <c15:dlblFieldTable/>
                  <c15:showDataLabelsRange val="0"/>
                </c:ext>
                <c:ext xmlns:c16="http://schemas.microsoft.com/office/drawing/2014/chart" uri="{C3380CC4-5D6E-409C-BE32-E72D297353CC}">
                  <c16:uniqueId val="{00000007-2982-4C71-9F4C-A032DA06778F}"/>
                </c:ext>
              </c:extLst>
            </c:dLbl>
            <c:spPr>
              <a:noFill/>
              <a:ln w="6350">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Table'!$H$35:$H$38</c:f>
              <c:strCache>
                <c:ptCount val="4"/>
                <c:pt idx="0">
                  <c:v>Card</c:v>
                </c:pt>
                <c:pt idx="1">
                  <c:v>Cash</c:v>
                </c:pt>
                <c:pt idx="2">
                  <c:v>Upi</c:v>
                </c:pt>
                <c:pt idx="3">
                  <c:v>Unknown2</c:v>
                </c:pt>
              </c:strCache>
            </c:strRef>
          </c:cat>
          <c:val>
            <c:numRef>
              <c:f>'Pivot Table'!$I$35:$I$38</c:f>
              <c:numCache>
                <c:formatCode>General</c:formatCode>
                <c:ptCount val="4"/>
                <c:pt idx="0">
                  <c:v>118069.17999999998</c:v>
                </c:pt>
                <c:pt idx="1">
                  <c:v>125328.83</c:v>
                </c:pt>
                <c:pt idx="2">
                  <c:v>117790.34000000001</c:v>
                </c:pt>
                <c:pt idx="3">
                  <c:v>1524.26</c:v>
                </c:pt>
              </c:numCache>
            </c:numRef>
          </c:val>
          <c:extLst>
            <c:ext xmlns:c16="http://schemas.microsoft.com/office/drawing/2014/chart" uri="{C3380CC4-5D6E-409C-BE32-E72D297353CC}">
              <c16:uniqueId val="{00000009-3DFC-4CDE-A822-1298CD63E66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[Restaurant_Table_Turnover_Analysis_Project1.xlsx]Pivot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Table'!$F$41</c:f>
              <c:strCache>
                <c:ptCount val="1"/>
                <c:pt idx="0">
                  <c:v>Total</c:v>
                </c:pt>
              </c:strCache>
            </c:strRef>
          </c:tx>
          <c:spPr>
            <a:ln w="28575" cap="rnd">
              <a:solidFill>
                <a:schemeClr val="accent1"/>
              </a:solidFill>
              <a:round/>
            </a:ln>
            <a:effectLst/>
          </c:spPr>
          <c:marker>
            <c:symbol val="none"/>
          </c:marker>
          <c:cat>
            <c:strRef>
              <c:f>'Pivot Table'!$E$42:$E$72</c:f>
              <c:strCache>
                <c:ptCount val="31"/>
                <c:pt idx="0">
                  <c:v>01/08/2026</c:v>
                </c:pt>
                <c:pt idx="1">
                  <c:v>02/08/2026</c:v>
                </c:pt>
                <c:pt idx="2">
                  <c:v>03/08/2026</c:v>
                </c:pt>
                <c:pt idx="3">
                  <c:v>04/08/2026</c:v>
                </c:pt>
                <c:pt idx="4">
                  <c:v>05/08/2026</c:v>
                </c:pt>
                <c:pt idx="5">
                  <c:v>06/08/2026</c:v>
                </c:pt>
                <c:pt idx="6">
                  <c:v>07/08/2026</c:v>
                </c:pt>
                <c:pt idx="7">
                  <c:v>08/08/2026</c:v>
                </c:pt>
                <c:pt idx="8">
                  <c:v>09/08/2026</c:v>
                </c:pt>
                <c:pt idx="9">
                  <c:v>10/08/2026</c:v>
                </c:pt>
                <c:pt idx="10">
                  <c:v>11/08/2026</c:v>
                </c:pt>
                <c:pt idx="11">
                  <c:v>12/08/2026</c:v>
                </c:pt>
                <c:pt idx="12">
                  <c:v>13/08/2026</c:v>
                </c:pt>
                <c:pt idx="13">
                  <c:v>14/08/2026</c:v>
                </c:pt>
                <c:pt idx="14">
                  <c:v>15/08/2026</c:v>
                </c:pt>
                <c:pt idx="15">
                  <c:v>16/08/2026</c:v>
                </c:pt>
                <c:pt idx="16">
                  <c:v>17/08/2026</c:v>
                </c:pt>
                <c:pt idx="17">
                  <c:v>18/08/2026</c:v>
                </c:pt>
                <c:pt idx="18">
                  <c:v>19/08/2026</c:v>
                </c:pt>
                <c:pt idx="19">
                  <c:v>20/08/2026</c:v>
                </c:pt>
                <c:pt idx="20">
                  <c:v>21/08/2026</c:v>
                </c:pt>
                <c:pt idx="21">
                  <c:v>22/08/2026</c:v>
                </c:pt>
                <c:pt idx="22">
                  <c:v>23/08/2026</c:v>
                </c:pt>
                <c:pt idx="23">
                  <c:v>24/08/2026</c:v>
                </c:pt>
                <c:pt idx="24">
                  <c:v>25/08/2026</c:v>
                </c:pt>
                <c:pt idx="25">
                  <c:v>26/08/2026</c:v>
                </c:pt>
                <c:pt idx="26">
                  <c:v>27/08/2026</c:v>
                </c:pt>
                <c:pt idx="27">
                  <c:v>28/08/2026</c:v>
                </c:pt>
                <c:pt idx="28">
                  <c:v>29/08/2026</c:v>
                </c:pt>
                <c:pt idx="29">
                  <c:v>30/08/2026</c:v>
                </c:pt>
                <c:pt idx="30">
                  <c:v>31/08/2026</c:v>
                </c:pt>
              </c:strCache>
            </c:strRef>
          </c:cat>
          <c:val>
            <c:numRef>
              <c:f>'Pivot Table'!$F$42:$F$72</c:f>
              <c:numCache>
                <c:formatCode>General</c:formatCode>
                <c:ptCount val="31"/>
                <c:pt idx="0">
                  <c:v>6429.91</c:v>
                </c:pt>
                <c:pt idx="1">
                  <c:v>9333.42</c:v>
                </c:pt>
                <c:pt idx="2">
                  <c:v>8388.39</c:v>
                </c:pt>
                <c:pt idx="3">
                  <c:v>10170.980000000001</c:v>
                </c:pt>
                <c:pt idx="4">
                  <c:v>13765.69</c:v>
                </c:pt>
                <c:pt idx="5">
                  <c:v>13044.630000000001</c:v>
                </c:pt>
                <c:pt idx="6">
                  <c:v>7348.11</c:v>
                </c:pt>
                <c:pt idx="7">
                  <c:v>18757.28</c:v>
                </c:pt>
                <c:pt idx="8">
                  <c:v>12012.470000000001</c:v>
                </c:pt>
                <c:pt idx="9">
                  <c:v>17306.320000000003</c:v>
                </c:pt>
                <c:pt idx="10">
                  <c:v>13265.820000000002</c:v>
                </c:pt>
                <c:pt idx="11">
                  <c:v>7390.49</c:v>
                </c:pt>
                <c:pt idx="12">
                  <c:v>17604.71</c:v>
                </c:pt>
                <c:pt idx="13">
                  <c:v>20271.649999999994</c:v>
                </c:pt>
                <c:pt idx="14">
                  <c:v>12517.94</c:v>
                </c:pt>
                <c:pt idx="15">
                  <c:v>13234.280000000002</c:v>
                </c:pt>
                <c:pt idx="16">
                  <c:v>8668.09</c:v>
                </c:pt>
                <c:pt idx="17">
                  <c:v>15419.85</c:v>
                </c:pt>
                <c:pt idx="18">
                  <c:v>10192.59</c:v>
                </c:pt>
                <c:pt idx="19">
                  <c:v>9538.11</c:v>
                </c:pt>
                <c:pt idx="20">
                  <c:v>7355.41</c:v>
                </c:pt>
                <c:pt idx="21">
                  <c:v>13414.55</c:v>
                </c:pt>
                <c:pt idx="22">
                  <c:v>10329.629999999999</c:v>
                </c:pt>
                <c:pt idx="23">
                  <c:v>8776.7999999999993</c:v>
                </c:pt>
                <c:pt idx="24">
                  <c:v>8110.09</c:v>
                </c:pt>
                <c:pt idx="25">
                  <c:v>23406.73</c:v>
                </c:pt>
                <c:pt idx="26">
                  <c:v>5204.4799999999996</c:v>
                </c:pt>
                <c:pt idx="27">
                  <c:v>14967.240000000002</c:v>
                </c:pt>
                <c:pt idx="28">
                  <c:v>7917.13</c:v>
                </c:pt>
                <c:pt idx="29">
                  <c:v>14411.660000000002</c:v>
                </c:pt>
                <c:pt idx="30">
                  <c:v>4158.16</c:v>
                </c:pt>
              </c:numCache>
            </c:numRef>
          </c:val>
          <c:smooth val="0"/>
          <c:extLst>
            <c:ext xmlns:c16="http://schemas.microsoft.com/office/drawing/2014/chart" uri="{C3380CC4-5D6E-409C-BE32-E72D297353CC}">
              <c16:uniqueId val="{00000001-57B6-4288-98FF-92F45877C94A}"/>
            </c:ext>
          </c:extLst>
        </c:ser>
        <c:dLbls>
          <c:showLegendKey val="0"/>
          <c:showVal val="0"/>
          <c:showCatName val="0"/>
          <c:showSerName val="0"/>
          <c:showPercent val="0"/>
          <c:showBubbleSize val="0"/>
        </c:dLbls>
        <c:smooth val="0"/>
        <c:axId val="2070885264"/>
        <c:axId val="2070880272"/>
      </c:lineChart>
      <c:catAx>
        <c:axId val="207088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880272"/>
        <c:crosses val="autoZero"/>
        <c:auto val="1"/>
        <c:lblAlgn val="ctr"/>
        <c:lblOffset val="100"/>
        <c:noMultiLvlLbl val="0"/>
      </c:catAx>
      <c:valAx>
        <c:axId val="207088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885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[Restaurant_Table_Turnover_Analysis_Project1.xlsx]Pivot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By Table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Table'!$I$41</c:f>
              <c:strCache>
                <c:ptCount val="1"/>
                <c:pt idx="0">
                  <c:v>Total</c:v>
                </c:pt>
              </c:strCache>
            </c:strRef>
          </c:tx>
          <c:spPr>
            <a:solidFill>
              <a:schemeClr val="accent1"/>
            </a:solidFill>
            <a:ln>
              <a:noFill/>
            </a:ln>
            <a:effectLst/>
          </c:spPr>
          <c:invertIfNegative val="0"/>
          <c:cat>
            <c:strRef>
              <c:f>'Pivot Table'!$H$42:$H$61</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 Table'!$I$42:$I$61</c:f>
              <c:numCache>
                <c:formatCode>General</c:formatCode>
                <c:ptCount val="20"/>
                <c:pt idx="0">
                  <c:v>38</c:v>
                </c:pt>
                <c:pt idx="1">
                  <c:v>72</c:v>
                </c:pt>
                <c:pt idx="2">
                  <c:v>55</c:v>
                </c:pt>
                <c:pt idx="3">
                  <c:v>37</c:v>
                </c:pt>
                <c:pt idx="4">
                  <c:v>60</c:v>
                </c:pt>
                <c:pt idx="5">
                  <c:v>24</c:v>
                </c:pt>
                <c:pt idx="6">
                  <c:v>33</c:v>
                </c:pt>
                <c:pt idx="7">
                  <c:v>65</c:v>
                </c:pt>
                <c:pt idx="8">
                  <c:v>46</c:v>
                </c:pt>
                <c:pt idx="9">
                  <c:v>49</c:v>
                </c:pt>
                <c:pt idx="10">
                  <c:v>47</c:v>
                </c:pt>
                <c:pt idx="11">
                  <c:v>22</c:v>
                </c:pt>
                <c:pt idx="12">
                  <c:v>34</c:v>
                </c:pt>
                <c:pt idx="13">
                  <c:v>48</c:v>
                </c:pt>
                <c:pt idx="14">
                  <c:v>52</c:v>
                </c:pt>
                <c:pt idx="15">
                  <c:v>23</c:v>
                </c:pt>
                <c:pt idx="16">
                  <c:v>36</c:v>
                </c:pt>
                <c:pt idx="17">
                  <c:v>66</c:v>
                </c:pt>
                <c:pt idx="18">
                  <c:v>62</c:v>
                </c:pt>
                <c:pt idx="19">
                  <c:v>81</c:v>
                </c:pt>
              </c:numCache>
            </c:numRef>
          </c:val>
          <c:extLst>
            <c:ext xmlns:c16="http://schemas.microsoft.com/office/drawing/2014/chart" uri="{C3380CC4-5D6E-409C-BE32-E72D297353CC}">
              <c16:uniqueId val="{00000001-E481-4155-A107-3666AA3C13D3}"/>
            </c:ext>
          </c:extLst>
        </c:ser>
        <c:dLbls>
          <c:showLegendKey val="0"/>
          <c:showVal val="0"/>
          <c:showCatName val="0"/>
          <c:showSerName val="0"/>
          <c:showPercent val="0"/>
          <c:showBubbleSize val="0"/>
        </c:dLbls>
        <c:gapWidth val="219"/>
        <c:overlap val="-27"/>
        <c:axId val="874974352"/>
        <c:axId val="874969360"/>
      </c:barChart>
      <c:catAx>
        <c:axId val="87497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69360"/>
        <c:crosses val="autoZero"/>
        <c:auto val="1"/>
        <c:lblAlgn val="ctr"/>
        <c:lblOffset val="100"/>
        <c:noMultiLvlLbl val="0"/>
      </c:catAx>
      <c:valAx>
        <c:axId val="87496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74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[Restaurant_Table_Turnover_Analysis_Project1.xlsx]Pivot Table!PivotTable2</c:name>
    <c:fmtId val="7"/>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Narrow" panose="020B0606020202030204" pitchFamily="34" charset="0"/>
                <a:ea typeface="+mn-ea"/>
                <a:cs typeface="+mn-cs"/>
              </a:defRPr>
            </a:pPr>
            <a:r>
              <a:rPr lang="en-US" sz="2400" b="0">
                <a:latin typeface="Arial Narrow" panose="020B0606020202030204" pitchFamily="34" charset="0"/>
                <a:cs typeface="Arial" panose="020B0604020202020204" pitchFamily="34" charset="0"/>
              </a:rPr>
              <a:t>Revenue</a:t>
            </a:r>
            <a:r>
              <a:rPr lang="en-US" sz="2400" b="0" baseline="0">
                <a:latin typeface="Arial Narrow" panose="020B0606020202030204" pitchFamily="34" charset="0"/>
                <a:cs typeface="Arial" panose="020B0604020202020204" pitchFamily="34" charset="0"/>
              </a:rPr>
              <a:t> By Table</a:t>
            </a:r>
            <a:endParaRPr lang="en-US" sz="2400" b="0">
              <a:latin typeface="Arial Narrow" panose="020B060602020203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C76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Table'!$C$9</c:f>
              <c:strCache>
                <c:ptCount val="1"/>
                <c:pt idx="0">
                  <c:v>Total</c:v>
                </c:pt>
              </c:strCache>
            </c:strRef>
          </c:tx>
          <c:spPr>
            <a:solidFill>
              <a:srgbClr val="0C7698"/>
            </a:solidFill>
            <a:ln>
              <a:noFill/>
            </a:ln>
            <a:effectLst/>
          </c:spPr>
          <c:invertIfNegative val="0"/>
          <c:cat>
            <c:strRef>
              <c:f>'Pivot Table'!$B$10:$B$29</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 Table'!$C$10:$C$29</c:f>
              <c:numCache>
                <c:formatCode>General</c:formatCode>
                <c:ptCount val="20"/>
                <c:pt idx="0">
                  <c:v>15586.080000000002</c:v>
                </c:pt>
                <c:pt idx="1">
                  <c:v>28265.63</c:v>
                </c:pt>
                <c:pt idx="2">
                  <c:v>19659.29</c:v>
                </c:pt>
                <c:pt idx="3">
                  <c:v>14681.410000000002</c:v>
                </c:pt>
                <c:pt idx="4">
                  <c:v>21513.709999999995</c:v>
                </c:pt>
                <c:pt idx="5">
                  <c:v>7570.49</c:v>
                </c:pt>
                <c:pt idx="6">
                  <c:v>12760.580000000002</c:v>
                </c:pt>
                <c:pt idx="7">
                  <c:v>20968.809999999998</c:v>
                </c:pt>
                <c:pt idx="8">
                  <c:v>24488.89</c:v>
                </c:pt>
                <c:pt idx="9">
                  <c:v>20878.669999999998</c:v>
                </c:pt>
                <c:pt idx="10">
                  <c:v>16554.09</c:v>
                </c:pt>
                <c:pt idx="11">
                  <c:v>8904.36</c:v>
                </c:pt>
                <c:pt idx="12">
                  <c:v>14190.3</c:v>
                </c:pt>
                <c:pt idx="13">
                  <c:v>16408.86</c:v>
                </c:pt>
                <c:pt idx="14">
                  <c:v>22744.039999999997</c:v>
                </c:pt>
                <c:pt idx="15">
                  <c:v>13836.43</c:v>
                </c:pt>
                <c:pt idx="16">
                  <c:v>12325.659999999998</c:v>
                </c:pt>
                <c:pt idx="17">
                  <c:v>23699.390000000007</c:v>
                </c:pt>
                <c:pt idx="18">
                  <c:v>21515.260000000002</c:v>
                </c:pt>
                <c:pt idx="19">
                  <c:v>26160.66</c:v>
                </c:pt>
              </c:numCache>
            </c:numRef>
          </c:val>
          <c:extLst>
            <c:ext xmlns:c16="http://schemas.microsoft.com/office/drawing/2014/chart" uri="{C3380CC4-5D6E-409C-BE32-E72D297353CC}">
              <c16:uniqueId val="{00000007-AB87-445A-99FB-E9490AB11475}"/>
            </c:ext>
          </c:extLst>
        </c:ser>
        <c:dLbls>
          <c:showLegendKey val="0"/>
          <c:showVal val="0"/>
          <c:showCatName val="0"/>
          <c:showSerName val="0"/>
          <c:showPercent val="0"/>
          <c:showBubbleSize val="0"/>
        </c:dLbls>
        <c:gapWidth val="219"/>
        <c:axId val="1347723376"/>
        <c:axId val="1347723792"/>
      </c:barChart>
      <c:catAx>
        <c:axId val="134772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347723792"/>
        <c:crosses val="autoZero"/>
        <c:auto val="1"/>
        <c:lblAlgn val="ctr"/>
        <c:lblOffset val="100"/>
        <c:noMultiLvlLbl val="0"/>
      </c:catAx>
      <c:valAx>
        <c:axId val="1347723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34772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[Restaurant_Table_Turnover_Analysis_Project1.xlsx]Pivot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0">
                <a:latin typeface="Arial Narrow" panose="020B0606020202030204" pitchFamily="34" charset="0"/>
              </a:rPr>
              <a:t>Orders</a:t>
            </a:r>
            <a:r>
              <a:rPr lang="en-US" sz="2400" b="0" baseline="0">
                <a:latin typeface="Arial Narrow" panose="020B0606020202030204" pitchFamily="34" charset="0"/>
              </a:rPr>
              <a:t> By Table</a:t>
            </a:r>
            <a:endParaRPr lang="en-US" sz="2400" b="0">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C76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476435721238366E-2"/>
          <c:y val="0.19880984833645557"/>
          <c:w val="0.88239743291735073"/>
          <c:h val="0.71346965014446773"/>
        </c:manualLayout>
      </c:layout>
      <c:barChart>
        <c:barDir val="col"/>
        <c:grouping val="clustered"/>
        <c:varyColors val="0"/>
        <c:ser>
          <c:idx val="0"/>
          <c:order val="0"/>
          <c:tx>
            <c:strRef>
              <c:f>'Pivot Table'!$F$9</c:f>
              <c:strCache>
                <c:ptCount val="1"/>
                <c:pt idx="0">
                  <c:v>Total</c:v>
                </c:pt>
              </c:strCache>
            </c:strRef>
          </c:tx>
          <c:spPr>
            <a:solidFill>
              <a:srgbClr val="0C7698"/>
            </a:solidFill>
            <a:ln>
              <a:noFill/>
            </a:ln>
            <a:effectLst/>
          </c:spPr>
          <c:invertIfNegative val="0"/>
          <c:cat>
            <c:strRef>
              <c:f>'Pivot Table'!$E$10:$E$29</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 Table'!$F$10:$F$29</c:f>
              <c:numCache>
                <c:formatCode>General</c:formatCode>
                <c:ptCount val="20"/>
                <c:pt idx="0">
                  <c:v>10</c:v>
                </c:pt>
                <c:pt idx="1">
                  <c:v>14</c:v>
                </c:pt>
                <c:pt idx="2">
                  <c:v>14</c:v>
                </c:pt>
                <c:pt idx="3">
                  <c:v>8</c:v>
                </c:pt>
                <c:pt idx="4">
                  <c:v>14</c:v>
                </c:pt>
                <c:pt idx="5">
                  <c:v>7</c:v>
                </c:pt>
                <c:pt idx="6">
                  <c:v>8</c:v>
                </c:pt>
                <c:pt idx="7">
                  <c:v>14</c:v>
                </c:pt>
                <c:pt idx="8">
                  <c:v>14</c:v>
                </c:pt>
                <c:pt idx="9">
                  <c:v>11</c:v>
                </c:pt>
                <c:pt idx="10">
                  <c:v>10</c:v>
                </c:pt>
                <c:pt idx="11">
                  <c:v>5</c:v>
                </c:pt>
                <c:pt idx="12">
                  <c:v>8</c:v>
                </c:pt>
                <c:pt idx="13">
                  <c:v>11</c:v>
                </c:pt>
                <c:pt idx="14">
                  <c:v>13</c:v>
                </c:pt>
                <c:pt idx="15">
                  <c:v>8</c:v>
                </c:pt>
                <c:pt idx="16">
                  <c:v>7</c:v>
                </c:pt>
                <c:pt idx="17">
                  <c:v>15</c:v>
                </c:pt>
                <c:pt idx="18">
                  <c:v>11</c:v>
                </c:pt>
                <c:pt idx="19">
                  <c:v>18</c:v>
                </c:pt>
              </c:numCache>
            </c:numRef>
          </c:val>
          <c:extLst>
            <c:ext xmlns:c16="http://schemas.microsoft.com/office/drawing/2014/chart" uri="{C3380CC4-5D6E-409C-BE32-E72D297353CC}">
              <c16:uniqueId val="{00000002-27F9-4553-8298-322BBA0265B7}"/>
            </c:ext>
          </c:extLst>
        </c:ser>
        <c:dLbls>
          <c:showLegendKey val="0"/>
          <c:showVal val="0"/>
          <c:showCatName val="0"/>
          <c:showSerName val="0"/>
          <c:showPercent val="0"/>
          <c:showBubbleSize val="0"/>
        </c:dLbls>
        <c:gapWidth val="219"/>
        <c:overlap val="-27"/>
        <c:axId val="1813226480"/>
        <c:axId val="1813222736"/>
      </c:barChart>
      <c:catAx>
        <c:axId val="181322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13222736"/>
        <c:crosses val="autoZero"/>
        <c:auto val="1"/>
        <c:lblAlgn val="ctr"/>
        <c:lblOffset val="100"/>
        <c:noMultiLvlLbl val="0"/>
      </c:catAx>
      <c:valAx>
        <c:axId val="1813222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813226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[Restaurant_Table_Turnover_Analysis_Project1.xlsx]Pivot Table!PivotTable4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0">
                <a:latin typeface="Arial Narrow" panose="020B0606020202030204" pitchFamily="34" charset="0"/>
              </a:rPr>
              <a:t>Average</a:t>
            </a:r>
            <a:r>
              <a:rPr lang="en-US" sz="2400" b="0" baseline="0">
                <a:latin typeface="Arial Narrow" panose="020B0606020202030204" pitchFamily="34" charset="0"/>
              </a:rPr>
              <a:t> Bill By Table</a:t>
            </a:r>
            <a:endParaRPr lang="en-US" sz="2400" b="0">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C76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Table'!$I$9</c:f>
              <c:strCache>
                <c:ptCount val="1"/>
                <c:pt idx="0">
                  <c:v>Total</c:v>
                </c:pt>
              </c:strCache>
            </c:strRef>
          </c:tx>
          <c:spPr>
            <a:solidFill>
              <a:srgbClr val="0C7698"/>
            </a:solidFill>
            <a:ln>
              <a:noFill/>
            </a:ln>
            <a:effectLst/>
          </c:spPr>
          <c:invertIfNegative val="0"/>
          <c:cat>
            <c:strRef>
              <c:f>'Pivot Table'!$H$10:$H$29</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 Table'!$I$10:$I$29</c:f>
              <c:numCache>
                <c:formatCode>General</c:formatCode>
                <c:ptCount val="20"/>
                <c:pt idx="0">
                  <c:v>1558.6080000000002</c:v>
                </c:pt>
                <c:pt idx="1">
                  <c:v>2018.9735714285714</c:v>
                </c:pt>
                <c:pt idx="2">
                  <c:v>1404.2350000000001</c:v>
                </c:pt>
                <c:pt idx="3">
                  <c:v>1835.1762500000002</c:v>
                </c:pt>
                <c:pt idx="4">
                  <c:v>1536.6935714285712</c:v>
                </c:pt>
                <c:pt idx="5">
                  <c:v>1081.4985714285715</c:v>
                </c:pt>
                <c:pt idx="6">
                  <c:v>1595.0725000000002</c:v>
                </c:pt>
                <c:pt idx="7">
                  <c:v>1612.9853846153844</c:v>
                </c:pt>
                <c:pt idx="8">
                  <c:v>1749.2064285714284</c:v>
                </c:pt>
                <c:pt idx="9">
                  <c:v>1898.060909090909</c:v>
                </c:pt>
                <c:pt idx="10">
                  <c:v>1655.4090000000001</c:v>
                </c:pt>
                <c:pt idx="11">
                  <c:v>1780.8720000000001</c:v>
                </c:pt>
                <c:pt idx="12">
                  <c:v>1773.7874999999999</c:v>
                </c:pt>
                <c:pt idx="13">
                  <c:v>1491.7145454545455</c:v>
                </c:pt>
                <c:pt idx="14">
                  <c:v>1749.5415384615383</c:v>
                </c:pt>
                <c:pt idx="15">
                  <c:v>1729.55375</c:v>
                </c:pt>
                <c:pt idx="16">
                  <c:v>1760.8085714285712</c:v>
                </c:pt>
                <c:pt idx="17">
                  <c:v>1579.9593333333337</c:v>
                </c:pt>
                <c:pt idx="18">
                  <c:v>1955.9327272727276</c:v>
                </c:pt>
                <c:pt idx="19">
                  <c:v>1538.8623529411764</c:v>
                </c:pt>
              </c:numCache>
            </c:numRef>
          </c:val>
          <c:extLst>
            <c:ext xmlns:c16="http://schemas.microsoft.com/office/drawing/2014/chart" uri="{C3380CC4-5D6E-409C-BE32-E72D297353CC}">
              <c16:uniqueId val="{00000002-BCF6-4F8C-AEFC-BC13B0185532}"/>
            </c:ext>
          </c:extLst>
        </c:ser>
        <c:dLbls>
          <c:showLegendKey val="0"/>
          <c:showVal val="0"/>
          <c:showCatName val="0"/>
          <c:showSerName val="0"/>
          <c:showPercent val="0"/>
          <c:showBubbleSize val="0"/>
        </c:dLbls>
        <c:gapWidth val="182"/>
        <c:axId val="1498890160"/>
        <c:axId val="1498888912"/>
      </c:barChart>
      <c:catAx>
        <c:axId val="1498890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498888912"/>
        <c:crosses val="autoZero"/>
        <c:auto val="1"/>
        <c:lblAlgn val="ctr"/>
        <c:lblOffset val="100"/>
        <c:noMultiLvlLbl val="0"/>
      </c:catAx>
      <c:valAx>
        <c:axId val="1498888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498890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[Restaurant_Table_Turnover_Analysis_Project1.xlsx]Pivot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0">
                <a:latin typeface="Arial Narrow" panose="020B0606020202030204" pitchFamily="34" charset="0"/>
              </a:rPr>
              <a:t>Revenue</a:t>
            </a:r>
            <a:r>
              <a:rPr lang="en-US" sz="2400" b="0" baseline="0">
                <a:latin typeface="Arial Narrow" panose="020B0606020202030204" pitchFamily="34" charset="0"/>
              </a:rPr>
              <a:t> By Meal Type</a:t>
            </a:r>
            <a:endParaRPr lang="en-US" sz="2400" b="0">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270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2700">
            <a:solidFill>
              <a:schemeClr val="lt1"/>
            </a:solidFill>
          </a:ln>
          <a:effectLst>
            <a:outerShdw blurRad="50800" dist="38100" dir="2700000" algn="tl" rotWithShape="0">
              <a:prstClr val="black">
                <a:alpha val="40000"/>
              </a:prstClr>
            </a:outerShdw>
          </a:effectLst>
        </c:spPr>
      </c:pivotFmt>
      <c:pivotFmt>
        <c:idx val="15"/>
        <c:spPr>
          <a:solidFill>
            <a:schemeClr val="accent1"/>
          </a:solidFill>
          <a:ln w="12700">
            <a:solidFill>
              <a:schemeClr val="lt1"/>
            </a:solidFill>
          </a:ln>
          <a:effectLst>
            <a:outerShdw blurRad="50800" dist="38100" dir="2700000" algn="tl" rotWithShape="0">
              <a:prstClr val="black">
                <a:alpha val="40000"/>
              </a:prstClr>
            </a:outerShdw>
          </a:effectLst>
        </c:spPr>
      </c:pivotFmt>
      <c:pivotFmt>
        <c:idx val="16"/>
        <c:spPr>
          <a:solidFill>
            <a:schemeClr val="accent1"/>
          </a:solidFill>
          <a:ln w="12700">
            <a:solidFill>
              <a:schemeClr val="lt1"/>
            </a:solidFill>
          </a:ln>
          <a:effectLst>
            <a:outerShdw blurRad="50800" dist="38100" dir="2700000" algn="tl" rotWithShape="0">
              <a:prstClr val="black">
                <a:alpha val="40000"/>
              </a:prstClr>
            </a:outerShdw>
          </a:effectLst>
        </c:spPr>
      </c:pivotFmt>
    </c:pivotFmts>
    <c:plotArea>
      <c:layout/>
      <c:pieChart>
        <c:varyColors val="1"/>
        <c:ser>
          <c:idx val="0"/>
          <c:order val="0"/>
          <c:tx>
            <c:strRef>
              <c:f>'Pivot Table'!$F$34</c:f>
              <c:strCache>
                <c:ptCount val="1"/>
                <c:pt idx="0">
                  <c:v>Total</c:v>
                </c:pt>
              </c:strCache>
            </c:strRef>
          </c:tx>
          <c:spPr>
            <a:ln w="12700"/>
            <a:effectLst>
              <a:outerShdw blurRad="50800" dist="38100" dir="2700000" algn="tl" rotWithShape="0">
                <a:prstClr val="black">
                  <a:alpha val="40000"/>
                </a:prstClr>
              </a:outerShdw>
            </a:effectLst>
          </c:spPr>
          <c:dPt>
            <c:idx val="0"/>
            <c:bubble3D val="0"/>
            <c:spPr>
              <a:solidFill>
                <a:schemeClr val="accent1"/>
              </a:solidFill>
              <a:ln w="1270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1D35-41DC-B37F-355CD2C60F96}"/>
              </c:ext>
            </c:extLst>
          </c:dPt>
          <c:dPt>
            <c:idx val="1"/>
            <c:bubble3D val="0"/>
            <c:spPr>
              <a:solidFill>
                <a:schemeClr val="accent2"/>
              </a:solidFill>
              <a:ln w="1270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1D35-41DC-B37F-355CD2C60F96}"/>
              </c:ext>
            </c:extLst>
          </c:dPt>
          <c:dPt>
            <c:idx val="2"/>
            <c:bubble3D val="0"/>
            <c:spPr>
              <a:solidFill>
                <a:schemeClr val="accent3"/>
              </a:solidFill>
              <a:ln w="1270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1D35-41DC-B37F-355CD2C60F9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Table'!$E$35:$E$37</c:f>
              <c:strCache>
                <c:ptCount val="3"/>
                <c:pt idx="0">
                  <c:v>Lunch</c:v>
                </c:pt>
                <c:pt idx="1">
                  <c:v>Dinner</c:v>
                </c:pt>
                <c:pt idx="2">
                  <c:v>Brunch</c:v>
                </c:pt>
              </c:strCache>
            </c:strRef>
          </c:cat>
          <c:val>
            <c:numRef>
              <c:f>'Pivot Table'!$F$35:$F$37</c:f>
              <c:numCache>
                <c:formatCode>General</c:formatCode>
                <c:ptCount val="3"/>
                <c:pt idx="0">
                  <c:v>135593.70000000001</c:v>
                </c:pt>
                <c:pt idx="1">
                  <c:v>120996.01000000001</c:v>
                </c:pt>
                <c:pt idx="2">
                  <c:v>106122.9</c:v>
                </c:pt>
              </c:numCache>
            </c:numRef>
          </c:val>
          <c:extLst>
            <c:ext xmlns:c16="http://schemas.microsoft.com/office/drawing/2014/chart" uri="{C3380CC4-5D6E-409C-BE32-E72D297353CC}">
              <c16:uniqueId val="{00000008-8DD1-436A-A6BD-19BAC0E90EA9}"/>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[Restaurant_Table_Turnover_Analysis_Project1.xlsx]Pivot Table!PivotTable5</c:name>
    <c:fmtId val="8"/>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Narrow" panose="020B0606020202030204" pitchFamily="34" charset="0"/>
                <a:ea typeface="+mn-ea"/>
                <a:cs typeface="+mn-cs"/>
              </a:defRPr>
            </a:pPr>
            <a:r>
              <a:rPr lang="en-US" sz="2400" b="0">
                <a:latin typeface="Arial Narrow" panose="020B0606020202030204" pitchFamily="34" charset="0"/>
              </a:rPr>
              <a:t>Average</a:t>
            </a:r>
            <a:r>
              <a:rPr lang="en-US" sz="2400" b="0" baseline="0">
                <a:latin typeface="Arial Narrow" panose="020B0606020202030204" pitchFamily="34" charset="0"/>
              </a:rPr>
              <a:t> Table Turnover Time</a:t>
            </a:r>
            <a:endParaRPr lang="en-US" sz="2400" b="0">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C76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Table'!$C$34</c:f>
              <c:strCache>
                <c:ptCount val="1"/>
                <c:pt idx="0">
                  <c:v>Total</c:v>
                </c:pt>
              </c:strCache>
            </c:strRef>
          </c:tx>
          <c:spPr>
            <a:solidFill>
              <a:srgbClr val="0C7698"/>
            </a:solidFill>
            <a:ln>
              <a:noFill/>
            </a:ln>
            <a:effectLst/>
          </c:spPr>
          <c:invertIfNegative val="0"/>
          <c:cat>
            <c:strRef>
              <c:f>'Pivot Table'!$B$35:$B$54</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 Table'!$C$35:$C$54</c:f>
              <c:numCache>
                <c:formatCode>[h]:mm</c:formatCode>
                <c:ptCount val="20"/>
                <c:pt idx="0">
                  <c:v>6.236111111111111E-2</c:v>
                </c:pt>
                <c:pt idx="1">
                  <c:v>5.6448412698412706E-2</c:v>
                </c:pt>
                <c:pt idx="2">
                  <c:v>6.1954365079365081E-2</c:v>
                </c:pt>
                <c:pt idx="3">
                  <c:v>6.5476190476190479E-2</c:v>
                </c:pt>
                <c:pt idx="4">
                  <c:v>6.0565476190476197E-2</c:v>
                </c:pt>
                <c:pt idx="5">
                  <c:v>6.9940476190476192E-2</c:v>
                </c:pt>
                <c:pt idx="6">
                  <c:v>6.3454861111111108E-2</c:v>
                </c:pt>
                <c:pt idx="7">
                  <c:v>5.9882478632478635E-2</c:v>
                </c:pt>
                <c:pt idx="8">
                  <c:v>6.760912698412698E-2</c:v>
                </c:pt>
                <c:pt idx="9">
                  <c:v>7.0328282828282837E-2</c:v>
                </c:pt>
                <c:pt idx="10">
                  <c:v>6.2708333333333338E-2</c:v>
                </c:pt>
                <c:pt idx="11">
                  <c:v>6.2638888888888883E-2</c:v>
                </c:pt>
                <c:pt idx="12">
                  <c:v>6.3020833333333331E-2</c:v>
                </c:pt>
                <c:pt idx="13">
                  <c:v>6.4204545454545459E-2</c:v>
                </c:pt>
                <c:pt idx="14">
                  <c:v>6.2393162393162394E-2</c:v>
                </c:pt>
                <c:pt idx="15">
                  <c:v>5.6597222222222222E-2</c:v>
                </c:pt>
                <c:pt idx="16">
                  <c:v>5.1488095238095236E-2</c:v>
                </c:pt>
                <c:pt idx="17">
                  <c:v>6.236111111111111E-2</c:v>
                </c:pt>
                <c:pt idx="18">
                  <c:v>6.483585858585858E-2</c:v>
                </c:pt>
                <c:pt idx="19">
                  <c:v>5.949074074074074E-2</c:v>
                </c:pt>
              </c:numCache>
            </c:numRef>
          </c:val>
          <c:extLst>
            <c:ext xmlns:c16="http://schemas.microsoft.com/office/drawing/2014/chart" uri="{C3380CC4-5D6E-409C-BE32-E72D297353CC}">
              <c16:uniqueId val="{00000002-12BB-4CAD-AFEC-12FA60BD3219}"/>
            </c:ext>
          </c:extLst>
        </c:ser>
        <c:dLbls>
          <c:showLegendKey val="0"/>
          <c:showVal val="0"/>
          <c:showCatName val="0"/>
          <c:showSerName val="0"/>
          <c:showPercent val="0"/>
          <c:showBubbleSize val="0"/>
        </c:dLbls>
        <c:gapWidth val="182"/>
        <c:axId val="1368494592"/>
        <c:axId val="1368495008"/>
      </c:barChart>
      <c:catAx>
        <c:axId val="136849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368495008"/>
        <c:crosses val="autoZero"/>
        <c:auto val="1"/>
        <c:lblAlgn val="ctr"/>
        <c:lblOffset val="100"/>
        <c:noMultiLvlLbl val="0"/>
      </c:catAx>
      <c:valAx>
        <c:axId val="1368495008"/>
        <c:scaling>
          <c:orientation val="minMax"/>
        </c:scaling>
        <c:delete val="0"/>
        <c:axPos val="b"/>
        <c:numFmt formatCode="[h]:mm"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36849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[Restaurant_Table_Turnover_Analysis_Project1.xlsx]Pivot Table!PivotTable7</c:name>
    <c:fmtId val="8"/>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Narrow" panose="020B0606020202030204" pitchFamily="34" charset="0"/>
                <a:ea typeface="+mn-ea"/>
                <a:cs typeface="+mn-cs"/>
              </a:defRPr>
            </a:pPr>
            <a:r>
              <a:rPr lang="en-US" sz="2400" b="0">
                <a:latin typeface="Arial Narrow" panose="020B0606020202030204" pitchFamily="34" charset="0"/>
              </a:rPr>
              <a:t>Revenue</a:t>
            </a:r>
            <a:r>
              <a:rPr lang="en-US" sz="2400" b="0" baseline="0">
                <a:latin typeface="Arial Narrow" panose="020B0606020202030204" pitchFamily="34" charset="0"/>
              </a:rPr>
              <a:t> By Payment Mode</a:t>
            </a:r>
            <a:endParaRPr lang="en-US" sz="2400" b="0">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w="19050">
            <a:solidFill>
              <a:schemeClr val="lt1"/>
            </a:solidFill>
          </a:ln>
          <a:effectLst/>
        </c:spPr>
        <c:dLbl>
          <c:idx val="0"/>
          <c:layout>
            <c:manualLayout>
              <c:x val="2.7777777777777267E-3"/>
              <c:y val="-9.722222222222222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6.6666666666666666E-2"/>
              <c:y val="-4.2437781360066642E-1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7.2222222222222215E-2"/>
              <c:y val="-2.3148148148148192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1.9444444444444393E-2"/>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6.6666666666666666E-2"/>
              <c:y val="-4.2437781360066642E-1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1.9444444444444393E-2"/>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7.2222222222222215E-2"/>
              <c:y val="-2.3148148148148192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2.7777777777777267E-3"/>
              <c:y val="-9.722222222222222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6.6666666666666666E-2"/>
              <c:y val="-4.2437781360066642E-1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1.9444444444444393E-2"/>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7.2222222222222215E-2"/>
              <c:y val="-2.3148148148148192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2.7777777777777267E-3"/>
              <c:y val="-9.722222222222222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6.6666666666666666E-2"/>
              <c:y val="-4.2437781360066642E-1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1.9444444444444393E-2"/>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7.2222222222222215E-2"/>
              <c:y val="-2.3148148148148192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270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2700">
            <a:solidFill>
              <a:schemeClr val="lt1"/>
            </a:solidFill>
          </a:ln>
          <a:effectLst>
            <a:outerShdw blurRad="50800" dist="38100" dir="2700000" algn="tl" rotWithShape="0">
              <a:prstClr val="black">
                <a:alpha val="40000"/>
              </a:prstClr>
            </a:outerShdw>
          </a:effectLst>
        </c:spPr>
        <c:dLbl>
          <c:idx val="0"/>
          <c:layout>
            <c:manualLayout>
              <c:x val="0.12103557403143"/>
              <c:y val="-5.9924592855967141E-3"/>
            </c:manualLayout>
          </c:layout>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2700">
            <a:solidFill>
              <a:schemeClr val="lt1"/>
            </a:solidFill>
          </a:ln>
          <a:effectLst>
            <a:outerShdw blurRad="50800" dist="38100" dir="2700000" algn="tl" rotWithShape="0">
              <a:prstClr val="black">
                <a:alpha val="40000"/>
              </a:prstClr>
            </a:outerShdw>
          </a:effectLst>
        </c:spPr>
        <c:dLbl>
          <c:idx val="0"/>
          <c:layout>
            <c:manualLayout>
              <c:x val="2.4622373493897259E-2"/>
              <c:y val="0.1371867468396529"/>
            </c:manualLayout>
          </c:layout>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2700">
            <a:solidFill>
              <a:schemeClr val="lt1"/>
            </a:solidFill>
          </a:ln>
          <a:effectLst>
            <a:outerShdw blurRad="50800" dist="38100" dir="2700000" algn="tl" rotWithShape="0">
              <a:prstClr val="black">
                <a:alpha val="40000"/>
              </a:prstClr>
            </a:outerShdw>
          </a:effectLst>
        </c:spPr>
        <c:dLbl>
          <c:idx val="0"/>
          <c:layout>
            <c:manualLayout>
              <c:x val="-7.2222222222222215E-2"/>
              <c:y val="-2.3148148148148192E-2"/>
            </c:manualLayout>
          </c:layout>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2700">
            <a:solidFill>
              <a:schemeClr val="lt1"/>
            </a:solidFill>
          </a:ln>
          <a:effectLst>
            <a:outerShdw blurRad="50800" dist="38100" dir="2700000" algn="tl" rotWithShape="0">
              <a:prstClr val="black">
                <a:alpha val="40000"/>
              </a:prstClr>
            </a:outerShdw>
          </a:effectLst>
        </c:spPr>
        <c:dLbl>
          <c:idx val="0"/>
          <c:layout>
            <c:manualLayout>
              <c:x val="1.2944981179832039E-2"/>
              <c:y val="-0.10957020260107936"/>
            </c:manualLayout>
          </c:layout>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242341056016909"/>
          <c:y val="0.20995271296624338"/>
          <c:w val="0.6163333860645952"/>
          <c:h val="0.71328485062962632"/>
        </c:manualLayout>
      </c:layout>
      <c:doughnutChart>
        <c:varyColors val="1"/>
        <c:ser>
          <c:idx val="0"/>
          <c:order val="0"/>
          <c:tx>
            <c:strRef>
              <c:f>'Pivot Table'!$I$34</c:f>
              <c:strCache>
                <c:ptCount val="1"/>
                <c:pt idx="0">
                  <c:v>Total</c:v>
                </c:pt>
              </c:strCache>
            </c:strRef>
          </c:tx>
          <c:spPr>
            <a:ln w="12700"/>
            <a:effectLst>
              <a:outerShdw blurRad="50800" dist="38100" dir="2700000" algn="tl" rotWithShape="0">
                <a:prstClr val="black">
                  <a:alpha val="40000"/>
                </a:prstClr>
              </a:outerShdw>
            </a:effectLst>
          </c:spPr>
          <c:dPt>
            <c:idx val="0"/>
            <c:bubble3D val="0"/>
            <c:spPr>
              <a:solidFill>
                <a:schemeClr val="accent1"/>
              </a:solidFill>
              <a:ln w="1270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5726-4A23-836C-D4435CB2E798}"/>
              </c:ext>
            </c:extLst>
          </c:dPt>
          <c:dPt>
            <c:idx val="1"/>
            <c:bubble3D val="0"/>
            <c:spPr>
              <a:solidFill>
                <a:schemeClr val="accent2"/>
              </a:solidFill>
              <a:ln w="1270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5726-4A23-836C-D4435CB2E798}"/>
              </c:ext>
            </c:extLst>
          </c:dPt>
          <c:dPt>
            <c:idx val="2"/>
            <c:bubble3D val="0"/>
            <c:spPr>
              <a:solidFill>
                <a:schemeClr val="accent3"/>
              </a:solidFill>
              <a:ln w="1270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5726-4A23-836C-D4435CB2E798}"/>
              </c:ext>
            </c:extLst>
          </c:dPt>
          <c:dPt>
            <c:idx val="3"/>
            <c:bubble3D val="0"/>
            <c:spPr>
              <a:solidFill>
                <a:schemeClr val="accent4"/>
              </a:solidFill>
              <a:ln w="1270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5726-4A23-836C-D4435CB2E798}"/>
              </c:ext>
            </c:extLst>
          </c:dPt>
          <c:dLbls>
            <c:dLbl>
              <c:idx val="0"/>
              <c:layout>
                <c:manualLayout>
                  <c:x val="0.12103557403143"/>
                  <c:y val="-5.9924592855967141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726-4A23-836C-D4435CB2E798}"/>
                </c:ext>
              </c:extLst>
            </c:dLbl>
            <c:dLbl>
              <c:idx val="1"/>
              <c:layout>
                <c:manualLayout>
                  <c:x val="2.4622373493897259E-2"/>
                  <c:y val="0.137186746839652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726-4A23-836C-D4435CB2E798}"/>
                </c:ext>
              </c:extLst>
            </c:dLbl>
            <c:dLbl>
              <c:idx val="2"/>
              <c:layout>
                <c:manualLayout>
                  <c:x val="-7.2222222222222215E-2"/>
                  <c:y val="-2.314814814814819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726-4A23-836C-D4435CB2E798}"/>
                </c:ext>
              </c:extLst>
            </c:dLbl>
            <c:dLbl>
              <c:idx val="3"/>
              <c:layout>
                <c:manualLayout>
                  <c:x val="1.2944981179832039E-2"/>
                  <c:y val="-0.109570202601079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726-4A23-836C-D4435CB2E798}"/>
                </c:ext>
              </c:extLst>
            </c:dLbl>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Table'!$H$35:$H$38</c:f>
              <c:strCache>
                <c:ptCount val="4"/>
                <c:pt idx="0">
                  <c:v>Card</c:v>
                </c:pt>
                <c:pt idx="1">
                  <c:v>Cash</c:v>
                </c:pt>
                <c:pt idx="2">
                  <c:v>Upi</c:v>
                </c:pt>
                <c:pt idx="3">
                  <c:v>Unknown2</c:v>
                </c:pt>
              </c:strCache>
            </c:strRef>
          </c:cat>
          <c:val>
            <c:numRef>
              <c:f>'Pivot Table'!$I$35:$I$38</c:f>
              <c:numCache>
                <c:formatCode>General</c:formatCode>
                <c:ptCount val="4"/>
                <c:pt idx="0">
                  <c:v>118069.17999999998</c:v>
                </c:pt>
                <c:pt idx="1">
                  <c:v>125328.83</c:v>
                </c:pt>
                <c:pt idx="2">
                  <c:v>117790.34000000001</c:v>
                </c:pt>
                <c:pt idx="3">
                  <c:v>1524.26</c:v>
                </c:pt>
              </c:numCache>
            </c:numRef>
          </c:val>
          <c:extLst>
            <c:ext xmlns:c16="http://schemas.microsoft.com/office/drawing/2014/chart" uri="{C3380CC4-5D6E-409C-BE32-E72D297353CC}">
              <c16:uniqueId val="{0000000A-8E07-4F19-A514-5DDB755BA7F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[Restaurant_Table_Turnover_Analysis_Project1.xlsx]Pivot Table!PivotTable8</c:name>
    <c:fmtId val="7"/>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Narrow" panose="020B0606020202030204" pitchFamily="34" charset="0"/>
                <a:ea typeface="+mn-ea"/>
                <a:cs typeface="+mn-cs"/>
              </a:defRPr>
            </a:pPr>
            <a:r>
              <a:rPr lang="en-US" sz="2400" b="0">
                <a:latin typeface="Arial Narrow" panose="020B0606020202030204" pitchFamily="34" charset="0"/>
              </a:rPr>
              <a:t>Revenue</a:t>
            </a:r>
            <a:r>
              <a:rPr lang="en-US" sz="2400" b="0" baseline="0">
                <a:latin typeface="Arial Narrow" panose="020B0606020202030204" pitchFamily="34" charset="0"/>
              </a:rPr>
              <a:t> By Date</a:t>
            </a:r>
            <a:endParaRPr lang="en-US" sz="2400" b="0">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Table'!$F$41</c:f>
              <c:strCache>
                <c:ptCount val="1"/>
                <c:pt idx="0">
                  <c:v>Total</c:v>
                </c:pt>
              </c:strCache>
            </c:strRef>
          </c:tx>
          <c:spPr>
            <a:ln w="28575" cap="rnd">
              <a:solidFill>
                <a:schemeClr val="accent1"/>
              </a:solidFill>
              <a:round/>
            </a:ln>
            <a:effectLst/>
          </c:spPr>
          <c:marker>
            <c:symbol val="none"/>
          </c:marker>
          <c:cat>
            <c:strRef>
              <c:f>'Pivot Table'!$E$42:$E$72</c:f>
              <c:strCache>
                <c:ptCount val="31"/>
                <c:pt idx="0">
                  <c:v>01/08/2026</c:v>
                </c:pt>
                <c:pt idx="1">
                  <c:v>02/08/2026</c:v>
                </c:pt>
                <c:pt idx="2">
                  <c:v>03/08/2026</c:v>
                </c:pt>
                <c:pt idx="3">
                  <c:v>04/08/2026</c:v>
                </c:pt>
                <c:pt idx="4">
                  <c:v>05/08/2026</c:v>
                </c:pt>
                <c:pt idx="5">
                  <c:v>06/08/2026</c:v>
                </c:pt>
                <c:pt idx="6">
                  <c:v>07/08/2026</c:v>
                </c:pt>
                <c:pt idx="7">
                  <c:v>08/08/2026</c:v>
                </c:pt>
                <c:pt idx="8">
                  <c:v>09/08/2026</c:v>
                </c:pt>
                <c:pt idx="9">
                  <c:v>10/08/2026</c:v>
                </c:pt>
                <c:pt idx="10">
                  <c:v>11/08/2026</c:v>
                </c:pt>
                <c:pt idx="11">
                  <c:v>12/08/2026</c:v>
                </c:pt>
                <c:pt idx="12">
                  <c:v>13/08/2026</c:v>
                </c:pt>
                <c:pt idx="13">
                  <c:v>14/08/2026</c:v>
                </c:pt>
                <c:pt idx="14">
                  <c:v>15/08/2026</c:v>
                </c:pt>
                <c:pt idx="15">
                  <c:v>16/08/2026</c:v>
                </c:pt>
                <c:pt idx="16">
                  <c:v>17/08/2026</c:v>
                </c:pt>
                <c:pt idx="17">
                  <c:v>18/08/2026</c:v>
                </c:pt>
                <c:pt idx="18">
                  <c:v>19/08/2026</c:v>
                </c:pt>
                <c:pt idx="19">
                  <c:v>20/08/2026</c:v>
                </c:pt>
                <c:pt idx="20">
                  <c:v>21/08/2026</c:v>
                </c:pt>
                <c:pt idx="21">
                  <c:v>22/08/2026</c:v>
                </c:pt>
                <c:pt idx="22">
                  <c:v>23/08/2026</c:v>
                </c:pt>
                <c:pt idx="23">
                  <c:v>24/08/2026</c:v>
                </c:pt>
                <c:pt idx="24">
                  <c:v>25/08/2026</c:v>
                </c:pt>
                <c:pt idx="25">
                  <c:v>26/08/2026</c:v>
                </c:pt>
                <c:pt idx="26">
                  <c:v>27/08/2026</c:v>
                </c:pt>
                <c:pt idx="27">
                  <c:v>28/08/2026</c:v>
                </c:pt>
                <c:pt idx="28">
                  <c:v>29/08/2026</c:v>
                </c:pt>
                <c:pt idx="29">
                  <c:v>30/08/2026</c:v>
                </c:pt>
                <c:pt idx="30">
                  <c:v>31/08/2026</c:v>
                </c:pt>
              </c:strCache>
            </c:strRef>
          </c:cat>
          <c:val>
            <c:numRef>
              <c:f>'Pivot Table'!$F$42:$F$72</c:f>
              <c:numCache>
                <c:formatCode>General</c:formatCode>
                <c:ptCount val="31"/>
                <c:pt idx="0">
                  <c:v>6429.91</c:v>
                </c:pt>
                <c:pt idx="1">
                  <c:v>9333.42</c:v>
                </c:pt>
                <c:pt idx="2">
                  <c:v>8388.39</c:v>
                </c:pt>
                <c:pt idx="3">
                  <c:v>10170.980000000001</c:v>
                </c:pt>
                <c:pt idx="4">
                  <c:v>13765.69</c:v>
                </c:pt>
                <c:pt idx="5">
                  <c:v>13044.630000000001</c:v>
                </c:pt>
                <c:pt idx="6">
                  <c:v>7348.11</c:v>
                </c:pt>
                <c:pt idx="7">
                  <c:v>18757.28</c:v>
                </c:pt>
                <c:pt idx="8">
                  <c:v>12012.470000000001</c:v>
                </c:pt>
                <c:pt idx="9">
                  <c:v>17306.320000000003</c:v>
                </c:pt>
                <c:pt idx="10">
                  <c:v>13265.820000000002</c:v>
                </c:pt>
                <c:pt idx="11">
                  <c:v>7390.49</c:v>
                </c:pt>
                <c:pt idx="12">
                  <c:v>17604.71</c:v>
                </c:pt>
                <c:pt idx="13">
                  <c:v>20271.649999999994</c:v>
                </c:pt>
                <c:pt idx="14">
                  <c:v>12517.94</c:v>
                </c:pt>
                <c:pt idx="15">
                  <c:v>13234.280000000002</c:v>
                </c:pt>
                <c:pt idx="16">
                  <c:v>8668.09</c:v>
                </c:pt>
                <c:pt idx="17">
                  <c:v>15419.85</c:v>
                </c:pt>
                <c:pt idx="18">
                  <c:v>10192.59</c:v>
                </c:pt>
                <c:pt idx="19">
                  <c:v>9538.11</c:v>
                </c:pt>
                <c:pt idx="20">
                  <c:v>7355.41</c:v>
                </c:pt>
                <c:pt idx="21">
                  <c:v>13414.55</c:v>
                </c:pt>
                <c:pt idx="22">
                  <c:v>10329.629999999999</c:v>
                </c:pt>
                <c:pt idx="23">
                  <c:v>8776.7999999999993</c:v>
                </c:pt>
                <c:pt idx="24">
                  <c:v>8110.09</c:v>
                </c:pt>
                <c:pt idx="25">
                  <c:v>23406.73</c:v>
                </c:pt>
                <c:pt idx="26">
                  <c:v>5204.4799999999996</c:v>
                </c:pt>
                <c:pt idx="27">
                  <c:v>14967.240000000002</c:v>
                </c:pt>
                <c:pt idx="28">
                  <c:v>7917.13</c:v>
                </c:pt>
                <c:pt idx="29">
                  <c:v>14411.660000000002</c:v>
                </c:pt>
                <c:pt idx="30">
                  <c:v>4158.16</c:v>
                </c:pt>
              </c:numCache>
            </c:numRef>
          </c:val>
          <c:smooth val="0"/>
          <c:extLst>
            <c:ext xmlns:c16="http://schemas.microsoft.com/office/drawing/2014/chart" uri="{C3380CC4-5D6E-409C-BE32-E72D297353CC}">
              <c16:uniqueId val="{00000002-5464-4F85-A9D2-26548CD2B31E}"/>
            </c:ext>
          </c:extLst>
        </c:ser>
        <c:dLbls>
          <c:showLegendKey val="0"/>
          <c:showVal val="0"/>
          <c:showCatName val="0"/>
          <c:showSerName val="0"/>
          <c:showPercent val="0"/>
          <c:showBubbleSize val="0"/>
        </c:dLbls>
        <c:smooth val="0"/>
        <c:axId val="2070885264"/>
        <c:axId val="2070880272"/>
      </c:lineChart>
      <c:catAx>
        <c:axId val="207088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70880272"/>
        <c:crosses val="autoZero"/>
        <c:auto val="1"/>
        <c:lblAlgn val="ctr"/>
        <c:lblOffset val="100"/>
        <c:tickLblSkip val="7"/>
        <c:noMultiLvlLbl val="0"/>
      </c:catAx>
      <c:valAx>
        <c:axId val="2070880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70885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[Restaurant_Table_Turnover_Analysis_Project1.xlsx]Pivot Table!PivotTable9</c:name>
    <c:fmtId val="7"/>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Narrow" panose="020B0606020202030204" pitchFamily="34" charset="0"/>
                <a:ea typeface="+mn-ea"/>
                <a:cs typeface="+mn-cs"/>
              </a:defRPr>
            </a:pPr>
            <a:r>
              <a:rPr lang="en-US" sz="2400">
                <a:latin typeface="Arial Narrow" panose="020B0606020202030204" pitchFamily="34" charset="0"/>
              </a:rPr>
              <a:t>Customer</a:t>
            </a:r>
            <a:r>
              <a:rPr lang="en-US" sz="2400" baseline="0">
                <a:latin typeface="Arial Narrow" panose="020B0606020202030204" pitchFamily="34" charset="0"/>
              </a:rPr>
              <a:t> By Table</a:t>
            </a:r>
            <a:endParaRPr lang="en-US" sz="2400">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C76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Table'!$I$41</c:f>
              <c:strCache>
                <c:ptCount val="1"/>
                <c:pt idx="0">
                  <c:v>Total</c:v>
                </c:pt>
              </c:strCache>
            </c:strRef>
          </c:tx>
          <c:spPr>
            <a:solidFill>
              <a:srgbClr val="0C7698"/>
            </a:solidFill>
            <a:ln>
              <a:noFill/>
            </a:ln>
            <a:effectLst/>
          </c:spPr>
          <c:invertIfNegative val="0"/>
          <c:cat>
            <c:strRef>
              <c:f>'Pivot Table'!$H$42:$H$61</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 Table'!$I$42:$I$61</c:f>
              <c:numCache>
                <c:formatCode>General</c:formatCode>
                <c:ptCount val="20"/>
                <c:pt idx="0">
                  <c:v>38</c:v>
                </c:pt>
                <c:pt idx="1">
                  <c:v>72</c:v>
                </c:pt>
                <c:pt idx="2">
                  <c:v>55</c:v>
                </c:pt>
                <c:pt idx="3">
                  <c:v>37</c:v>
                </c:pt>
                <c:pt idx="4">
                  <c:v>60</c:v>
                </c:pt>
                <c:pt idx="5">
                  <c:v>24</c:v>
                </c:pt>
                <c:pt idx="6">
                  <c:v>33</c:v>
                </c:pt>
                <c:pt idx="7">
                  <c:v>65</c:v>
                </c:pt>
                <c:pt idx="8">
                  <c:v>46</c:v>
                </c:pt>
                <c:pt idx="9">
                  <c:v>49</c:v>
                </c:pt>
                <c:pt idx="10">
                  <c:v>47</c:v>
                </c:pt>
                <c:pt idx="11">
                  <c:v>22</c:v>
                </c:pt>
                <c:pt idx="12">
                  <c:v>34</c:v>
                </c:pt>
                <c:pt idx="13">
                  <c:v>48</c:v>
                </c:pt>
                <c:pt idx="14">
                  <c:v>52</c:v>
                </c:pt>
                <c:pt idx="15">
                  <c:v>23</c:v>
                </c:pt>
                <c:pt idx="16">
                  <c:v>36</c:v>
                </c:pt>
                <c:pt idx="17">
                  <c:v>66</c:v>
                </c:pt>
                <c:pt idx="18">
                  <c:v>62</c:v>
                </c:pt>
                <c:pt idx="19">
                  <c:v>81</c:v>
                </c:pt>
              </c:numCache>
            </c:numRef>
          </c:val>
          <c:extLst>
            <c:ext xmlns:c16="http://schemas.microsoft.com/office/drawing/2014/chart" uri="{C3380CC4-5D6E-409C-BE32-E72D297353CC}">
              <c16:uniqueId val="{00000002-11A0-46C2-806E-A5A81C9C1A61}"/>
            </c:ext>
          </c:extLst>
        </c:ser>
        <c:dLbls>
          <c:showLegendKey val="0"/>
          <c:showVal val="0"/>
          <c:showCatName val="0"/>
          <c:showSerName val="0"/>
          <c:showPercent val="0"/>
          <c:showBubbleSize val="0"/>
        </c:dLbls>
        <c:gapWidth val="219"/>
        <c:overlap val="-27"/>
        <c:axId val="874974352"/>
        <c:axId val="874969360"/>
      </c:barChart>
      <c:catAx>
        <c:axId val="8749743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874969360"/>
        <c:crosses val="autoZero"/>
        <c:auto val="1"/>
        <c:lblAlgn val="ctr"/>
        <c:lblOffset val="100"/>
        <c:noMultiLvlLbl val="0"/>
      </c:catAx>
      <c:valAx>
        <c:axId val="874969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874974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10.png"/><Relationship Id="rId18" Type="http://schemas.openxmlformats.org/officeDocument/2006/relationships/chart" Target="../charts/chart12.xml"/><Relationship Id="rId3" Type="http://schemas.openxmlformats.org/officeDocument/2006/relationships/image" Target="../media/image1.jpeg"/><Relationship Id="rId21" Type="http://schemas.openxmlformats.org/officeDocument/2006/relationships/chart" Target="../charts/chart15.xml"/><Relationship Id="rId7" Type="http://schemas.openxmlformats.org/officeDocument/2006/relationships/image" Target="../media/image4.png"/><Relationship Id="rId12" Type="http://schemas.openxmlformats.org/officeDocument/2006/relationships/image" Target="../media/image9.svg"/><Relationship Id="rId17" Type="http://schemas.openxmlformats.org/officeDocument/2006/relationships/chart" Target="../charts/chart11.xml"/><Relationship Id="rId2" Type="http://schemas.openxmlformats.org/officeDocument/2006/relationships/hyperlink" Target="https://creativecommons.org/licenses/by-nc-nd/3.0/" TargetMode="External"/><Relationship Id="rId16" Type="http://schemas.openxmlformats.org/officeDocument/2006/relationships/chart" Target="../charts/chart10.xml"/><Relationship Id="rId20" Type="http://schemas.openxmlformats.org/officeDocument/2006/relationships/chart" Target="../charts/chart14.xml"/><Relationship Id="rId1" Type="http://schemas.openxmlformats.org/officeDocument/2006/relationships/hyperlink" Target="https://anakjajan.com/tag/neo-soho-restaurant/" TargetMode="External"/><Relationship Id="rId6" Type="http://schemas.openxmlformats.org/officeDocument/2006/relationships/image" Target="../media/image3.svg"/><Relationship Id="rId11" Type="http://schemas.openxmlformats.org/officeDocument/2006/relationships/image" Target="../media/image8.png"/><Relationship Id="rId5" Type="http://schemas.openxmlformats.org/officeDocument/2006/relationships/image" Target="../media/image2.png"/><Relationship Id="rId15" Type="http://schemas.openxmlformats.org/officeDocument/2006/relationships/chart" Target="../charts/chart9.xml"/><Relationship Id="rId10" Type="http://schemas.openxmlformats.org/officeDocument/2006/relationships/image" Target="../media/image7.svg"/><Relationship Id="rId19" Type="http://schemas.openxmlformats.org/officeDocument/2006/relationships/chart" Target="../charts/chart13.xml"/><Relationship Id="rId4" Type="http://schemas.openxmlformats.org/officeDocument/2006/relationships/hyperlink" Target="https://likejp.com/4388" TargetMode="External"/><Relationship Id="rId9" Type="http://schemas.openxmlformats.org/officeDocument/2006/relationships/image" Target="../media/image6.png"/><Relationship Id="rId14" Type="http://schemas.openxmlformats.org/officeDocument/2006/relationships/image" Target="../media/image11.svg"/><Relationship Id="rId22"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9</xdr:col>
      <xdr:colOff>556260</xdr:colOff>
      <xdr:row>0</xdr:row>
      <xdr:rowOff>137160</xdr:rowOff>
    </xdr:from>
    <xdr:to>
      <xdr:col>12</xdr:col>
      <xdr:colOff>373380</xdr:colOff>
      <xdr:row>14</xdr:row>
      <xdr:rowOff>150495</xdr:rowOff>
    </xdr:to>
    <mc:AlternateContent xmlns:mc="http://schemas.openxmlformats.org/markup-compatibility/2006" xmlns:a14="http://schemas.microsoft.com/office/drawing/2010/main">
      <mc:Choice Requires="a14">
        <xdr:graphicFrame macro="">
          <xdr:nvGraphicFramePr>
            <xdr:cNvPr id="7" name="Table_No">
              <a:extLst>
                <a:ext uri="{FF2B5EF4-FFF2-40B4-BE49-F238E27FC236}">
                  <a16:creationId xmlns:a16="http://schemas.microsoft.com/office/drawing/2014/main" id="{0B65CD2A-E516-4DC3-B94F-CF94C8DBC1BC}"/>
                </a:ext>
              </a:extLst>
            </xdr:cNvPr>
            <xdr:cNvGraphicFramePr/>
          </xdr:nvGraphicFramePr>
          <xdr:xfrm>
            <a:off x="0" y="0"/>
            <a:ext cx="0" cy="0"/>
          </xdr:xfrm>
          <a:graphic>
            <a:graphicData uri="http://schemas.microsoft.com/office/drawing/2010/slicer">
              <sle:slicer xmlns:sle="http://schemas.microsoft.com/office/drawing/2010/slicer" name="Table_No"/>
            </a:graphicData>
          </a:graphic>
        </xdr:graphicFrame>
      </mc:Choice>
      <mc:Fallback xmlns="">
        <xdr:sp macro="" textlink="">
          <xdr:nvSpPr>
            <xdr:cNvPr id="0" name=""/>
            <xdr:cNvSpPr>
              <a:spLocks noTextEdit="1"/>
            </xdr:cNvSpPr>
          </xdr:nvSpPr>
          <xdr:spPr>
            <a:xfrm>
              <a:off x="8100060" y="1371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281940</xdr:colOff>
      <xdr:row>12</xdr:row>
      <xdr:rowOff>30480</xdr:rowOff>
    </xdr:from>
    <xdr:to>
      <xdr:col>9</xdr:col>
      <xdr:colOff>411480</xdr:colOff>
      <xdr:row>26</xdr:row>
      <xdr:rowOff>43815</xdr:rowOff>
    </xdr:to>
    <mc:AlternateContent xmlns:mc="http://schemas.openxmlformats.org/markup-compatibility/2006" xmlns:a14="http://schemas.microsoft.com/office/drawing/2010/main">
      <mc:Choice Requires="a14">
        <xdr:graphicFrame macro="">
          <xdr:nvGraphicFramePr>
            <xdr:cNvPr id="8" name="Meal_Type">
              <a:extLst>
                <a:ext uri="{FF2B5EF4-FFF2-40B4-BE49-F238E27FC236}">
                  <a16:creationId xmlns:a16="http://schemas.microsoft.com/office/drawing/2014/main" id="{6288045B-B162-4B3D-8599-448E3385F48C}"/>
                </a:ext>
              </a:extLst>
            </xdr:cNvPr>
            <xdr:cNvGraphicFramePr/>
          </xdr:nvGraphicFramePr>
          <xdr:xfrm>
            <a:off x="0" y="0"/>
            <a:ext cx="0" cy="0"/>
          </xdr:xfrm>
          <a:graphic>
            <a:graphicData uri="http://schemas.microsoft.com/office/drawing/2010/slicer">
              <sle:slicer xmlns:sle="http://schemas.microsoft.com/office/drawing/2010/slicer" name="Meal_Type"/>
            </a:graphicData>
          </a:graphic>
        </xdr:graphicFrame>
      </mc:Choice>
      <mc:Fallback xmlns="">
        <xdr:sp macro="" textlink="">
          <xdr:nvSpPr>
            <xdr:cNvPr id="0" name=""/>
            <xdr:cNvSpPr>
              <a:spLocks noTextEdit="1"/>
            </xdr:cNvSpPr>
          </xdr:nvSpPr>
          <xdr:spPr>
            <a:xfrm>
              <a:off x="6781800" y="22250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419100</xdr:colOff>
      <xdr:row>9</xdr:row>
      <xdr:rowOff>68580</xdr:rowOff>
    </xdr:from>
    <xdr:to>
      <xdr:col>7</xdr:col>
      <xdr:colOff>464820</xdr:colOff>
      <xdr:row>23</xdr:row>
      <xdr:rowOff>81915</xdr:rowOff>
    </xdr:to>
    <mc:AlternateContent xmlns:mc="http://schemas.openxmlformats.org/markup-compatibility/2006" xmlns:a14="http://schemas.microsoft.com/office/drawing/2010/main">
      <mc:Choice Requires="a14">
        <xdr:graphicFrame macro="">
          <xdr:nvGraphicFramePr>
            <xdr:cNvPr id="14" name="Table_Area">
              <a:extLst>
                <a:ext uri="{FF2B5EF4-FFF2-40B4-BE49-F238E27FC236}">
                  <a16:creationId xmlns:a16="http://schemas.microsoft.com/office/drawing/2014/main" id="{192697A6-5BE7-41CE-ACDF-95FB89CB45B7}"/>
                </a:ext>
              </a:extLst>
            </xdr:cNvPr>
            <xdr:cNvGraphicFramePr/>
          </xdr:nvGraphicFramePr>
          <xdr:xfrm>
            <a:off x="0" y="0"/>
            <a:ext cx="0" cy="0"/>
          </xdr:xfrm>
          <a:graphic>
            <a:graphicData uri="http://schemas.microsoft.com/office/drawing/2010/slicer">
              <sle:slicer xmlns:sle="http://schemas.microsoft.com/office/drawing/2010/slicer" name="Table_Area"/>
            </a:graphicData>
          </a:graphic>
        </xdr:graphicFrame>
      </mc:Choice>
      <mc:Fallback xmlns="">
        <xdr:sp macro="" textlink="">
          <xdr:nvSpPr>
            <xdr:cNvPr id="0" name=""/>
            <xdr:cNvSpPr>
              <a:spLocks noTextEdit="1"/>
            </xdr:cNvSpPr>
          </xdr:nvSpPr>
          <xdr:spPr>
            <a:xfrm>
              <a:off x="5951220" y="1645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91440</xdr:colOff>
      <xdr:row>9</xdr:row>
      <xdr:rowOff>99060</xdr:rowOff>
    </xdr:from>
    <xdr:to>
      <xdr:col>8</xdr:col>
      <xdr:colOff>1386840</xdr:colOff>
      <xdr:row>18</xdr:row>
      <xdr:rowOff>129539</xdr:rowOff>
    </xdr:to>
    <mc:AlternateContent xmlns:mc="http://schemas.openxmlformats.org/markup-compatibility/2006" xmlns:a14="http://schemas.microsoft.com/office/drawing/2010/main">
      <mc:Choice Requires="a14">
        <xdr:graphicFrame macro="">
          <xdr:nvGraphicFramePr>
            <xdr:cNvPr id="3" name="Payment_Mode">
              <a:extLst>
                <a:ext uri="{FF2B5EF4-FFF2-40B4-BE49-F238E27FC236}">
                  <a16:creationId xmlns:a16="http://schemas.microsoft.com/office/drawing/2014/main" id="{DA842C53-0475-490D-ADB7-0FCE9AF096A4}"/>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6736080" y="1676400"/>
              <a:ext cx="2926080" cy="1607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0</xdr:row>
      <xdr:rowOff>121920</xdr:rowOff>
    </xdr:from>
    <xdr:to>
      <xdr:col>5</xdr:col>
      <xdr:colOff>594360</xdr:colOff>
      <xdr:row>12</xdr:row>
      <xdr:rowOff>53340</xdr:rowOff>
    </xdr:to>
    <xdr:graphicFrame macro="">
      <xdr:nvGraphicFramePr>
        <xdr:cNvPr id="2" name="Chart 1">
          <a:extLst>
            <a:ext uri="{FF2B5EF4-FFF2-40B4-BE49-F238E27FC236}">
              <a16:creationId xmlns:a16="http://schemas.microsoft.com/office/drawing/2014/main" id="{86342A1B-3CF6-427A-B8BF-F16F03515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83820</xdr:colOff>
      <xdr:row>0</xdr:row>
      <xdr:rowOff>121920</xdr:rowOff>
    </xdr:from>
    <xdr:to>
      <xdr:col>11</xdr:col>
      <xdr:colOff>525780</xdr:colOff>
      <xdr:row>12</xdr:row>
      <xdr:rowOff>91440</xdr:rowOff>
    </xdr:to>
    <xdr:graphicFrame macro="">
      <xdr:nvGraphicFramePr>
        <xdr:cNvPr id="3" name="Chart 2">
          <a:extLst>
            <a:ext uri="{FF2B5EF4-FFF2-40B4-BE49-F238E27FC236}">
              <a16:creationId xmlns:a16="http://schemas.microsoft.com/office/drawing/2014/main" id="{2FB6B2D7-292E-4252-BCB9-3AEAF6F2D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68580</xdr:colOff>
      <xdr:row>12</xdr:row>
      <xdr:rowOff>83820</xdr:rowOff>
    </xdr:from>
    <xdr:to>
      <xdr:col>6</xdr:col>
      <xdr:colOff>15240</xdr:colOff>
      <xdr:row>22</xdr:row>
      <xdr:rowOff>152400</xdr:rowOff>
    </xdr:to>
    <xdr:graphicFrame macro="">
      <xdr:nvGraphicFramePr>
        <xdr:cNvPr id="4" name="Chart 3">
          <a:extLst>
            <a:ext uri="{FF2B5EF4-FFF2-40B4-BE49-F238E27FC236}">
              <a16:creationId xmlns:a16="http://schemas.microsoft.com/office/drawing/2014/main" id="{4B2FCAA1-46B3-4974-A562-44F667BA4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129540</xdr:colOff>
      <xdr:row>13</xdr:row>
      <xdr:rowOff>0</xdr:rowOff>
    </xdr:from>
    <xdr:to>
      <xdr:col>12</xdr:col>
      <xdr:colOff>99060</xdr:colOff>
      <xdr:row>23</xdr:row>
      <xdr:rowOff>68580</xdr:rowOff>
    </xdr:to>
    <xdr:graphicFrame macro="">
      <xdr:nvGraphicFramePr>
        <xdr:cNvPr id="5" name="Chart 4">
          <a:extLst>
            <a:ext uri="{FF2B5EF4-FFF2-40B4-BE49-F238E27FC236}">
              <a16:creationId xmlns:a16="http://schemas.microsoft.com/office/drawing/2014/main" id="{5830BD0C-D0D3-4587-87AC-313E29C21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182880</xdr:colOff>
      <xdr:row>12</xdr:row>
      <xdr:rowOff>114300</xdr:rowOff>
    </xdr:from>
    <xdr:to>
      <xdr:col>17</xdr:col>
      <xdr:colOff>480060</xdr:colOff>
      <xdr:row>23</xdr:row>
      <xdr:rowOff>144780</xdr:rowOff>
    </xdr:to>
    <xdr:graphicFrame macro="">
      <xdr:nvGraphicFramePr>
        <xdr:cNvPr id="6" name="Chart 5">
          <a:extLst>
            <a:ext uri="{FF2B5EF4-FFF2-40B4-BE49-F238E27FC236}">
              <a16:creationId xmlns:a16="http://schemas.microsoft.com/office/drawing/2014/main" id="{7440072A-69EF-4516-9537-0439AA7F2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274320</xdr:colOff>
      <xdr:row>24</xdr:row>
      <xdr:rowOff>53340</xdr:rowOff>
    </xdr:from>
    <xdr:to>
      <xdr:col>5</xdr:col>
      <xdr:colOff>426720</xdr:colOff>
      <xdr:row>33</xdr:row>
      <xdr:rowOff>160020</xdr:rowOff>
    </xdr:to>
    <xdr:graphicFrame macro="">
      <xdr:nvGraphicFramePr>
        <xdr:cNvPr id="7" name="Chart 6">
          <a:extLst>
            <a:ext uri="{FF2B5EF4-FFF2-40B4-BE49-F238E27FC236}">
              <a16:creationId xmlns:a16="http://schemas.microsoft.com/office/drawing/2014/main" id="{B7986C83-83A7-4203-B176-4C1904B35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381000</xdr:colOff>
      <xdr:row>23</xdr:row>
      <xdr:rowOff>99060</xdr:rowOff>
    </xdr:from>
    <xdr:to>
      <xdr:col>12</xdr:col>
      <xdr:colOff>601980</xdr:colOff>
      <xdr:row>32</xdr:row>
      <xdr:rowOff>129540</xdr:rowOff>
    </xdr:to>
    <xdr:graphicFrame macro="">
      <xdr:nvGraphicFramePr>
        <xdr:cNvPr id="8" name="Chart 7">
          <a:extLst>
            <a:ext uri="{FF2B5EF4-FFF2-40B4-BE49-F238E27FC236}">
              <a16:creationId xmlns:a16="http://schemas.microsoft.com/office/drawing/2014/main" id="{C965F6AA-70CE-4E5F-8E1A-0DE929561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304800</xdr:colOff>
      <xdr:row>33</xdr:row>
      <xdr:rowOff>152400</xdr:rowOff>
    </xdr:from>
    <xdr:to>
      <xdr:col>7</xdr:col>
      <xdr:colOff>83820</xdr:colOff>
      <xdr:row>44</xdr:row>
      <xdr:rowOff>22860</xdr:rowOff>
    </xdr:to>
    <xdr:graphicFrame macro="">
      <xdr:nvGraphicFramePr>
        <xdr:cNvPr id="9" name="Chart 8">
          <a:extLst>
            <a:ext uri="{FF2B5EF4-FFF2-40B4-BE49-F238E27FC236}">
              <a16:creationId xmlns:a16="http://schemas.microsoft.com/office/drawing/2014/main" id="{BC315F34-A9E4-40C4-86AD-209A32698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99542</xdr:colOff>
      <xdr:row>0</xdr:row>
      <xdr:rowOff>72632</xdr:rowOff>
    </xdr:from>
    <xdr:to>
      <xdr:col>3</xdr:col>
      <xdr:colOff>321469</xdr:colOff>
      <xdr:row>7</xdr:row>
      <xdr:rowOff>125392</xdr:rowOff>
    </xdr:to>
    <xdr:sp macro="" textlink="">
      <xdr:nvSpPr>
        <xdr:cNvPr id="3" name="Rectangle: Rounded Corners 2">
          <a:extLst>
            <a:ext uri="{FF2B5EF4-FFF2-40B4-BE49-F238E27FC236}">
              <a16:creationId xmlns:a16="http://schemas.microsoft.com/office/drawing/2014/main" id="{86802C90-E90D-4DF5-A67C-23AFB6F35DBA}"/>
            </a:ext>
          </a:extLst>
        </xdr:cNvPr>
        <xdr:cNvSpPr/>
      </xdr:nvSpPr>
      <xdr:spPr>
        <a:xfrm>
          <a:off x="99542" y="72632"/>
          <a:ext cx="2043583" cy="1136229"/>
        </a:xfrm>
        <a:prstGeom prst="roundRect">
          <a:avLst>
            <a:gd name="adj" fmla="val 10606"/>
          </a:avLst>
        </a:prstGeom>
        <a:gradFill flip="none" rotWithShape="1">
          <a:gsLst>
            <a:gs pos="0">
              <a:srgbClr val="073673">
                <a:shade val="30000"/>
                <a:satMod val="115000"/>
              </a:srgbClr>
            </a:gs>
            <a:gs pos="50000">
              <a:srgbClr val="073673">
                <a:shade val="67500"/>
                <a:satMod val="115000"/>
              </a:srgbClr>
            </a:gs>
            <a:gs pos="100000">
              <a:srgbClr val="073673">
                <a:shade val="100000"/>
                <a:satMod val="115000"/>
              </a:srgbClr>
            </a:gs>
          </a:gsLst>
          <a:path path="circle">
            <a:fillToRect t="100000" r="100000"/>
          </a:path>
          <a:tileRect l="-100000" b="-10000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xdr:txBody>
    </xdr:sp>
    <xdr:clientData/>
  </xdr:twoCellAnchor>
  <xdr:twoCellAnchor>
    <xdr:from>
      <xdr:col>0</xdr:col>
      <xdr:colOff>86810</xdr:colOff>
      <xdr:row>8</xdr:row>
      <xdr:rowOff>19290</xdr:rowOff>
    </xdr:from>
    <xdr:to>
      <xdr:col>3</xdr:col>
      <xdr:colOff>333375</xdr:colOff>
      <xdr:row>60</xdr:row>
      <xdr:rowOff>23813</xdr:rowOff>
    </xdr:to>
    <xdr:sp macro="" textlink="">
      <xdr:nvSpPr>
        <xdr:cNvPr id="5" name="Rectangle: Rounded Corners 4">
          <a:extLst>
            <a:ext uri="{FF2B5EF4-FFF2-40B4-BE49-F238E27FC236}">
              <a16:creationId xmlns:a16="http://schemas.microsoft.com/office/drawing/2014/main" id="{0B9FAEBE-E6B5-4422-AE95-9D3D3DB6F551}"/>
            </a:ext>
          </a:extLst>
        </xdr:cNvPr>
        <xdr:cNvSpPr/>
      </xdr:nvSpPr>
      <xdr:spPr>
        <a:xfrm>
          <a:off x="86810" y="1257540"/>
          <a:ext cx="2068221" cy="8053148"/>
        </a:xfrm>
        <a:prstGeom prst="roundRect">
          <a:avLst>
            <a:gd name="adj" fmla="val 7363"/>
          </a:avLst>
        </a:prstGeom>
        <a:gradFill flip="none" rotWithShape="1">
          <a:gsLst>
            <a:gs pos="0">
              <a:srgbClr val="073673">
                <a:shade val="30000"/>
                <a:satMod val="115000"/>
              </a:srgbClr>
            </a:gs>
            <a:gs pos="50000">
              <a:srgbClr val="073673">
                <a:shade val="67500"/>
                <a:satMod val="115000"/>
              </a:srgbClr>
            </a:gs>
            <a:gs pos="100000">
              <a:srgbClr val="073673">
                <a:shade val="100000"/>
                <a:satMod val="115000"/>
              </a:srgbClr>
            </a:gs>
          </a:gsLst>
          <a:path path="circle">
            <a:fillToRect t="100000" r="100000"/>
          </a:path>
          <a:tileRect l="-100000" b="-10000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452185</xdr:colOff>
      <xdr:row>8</xdr:row>
      <xdr:rowOff>33458</xdr:rowOff>
    </xdr:from>
    <xdr:to>
      <xdr:col>7</xdr:col>
      <xdr:colOff>107157</xdr:colOff>
      <xdr:row>14</xdr:row>
      <xdr:rowOff>107156</xdr:rowOff>
    </xdr:to>
    <xdr:sp macro="" textlink="">
      <xdr:nvSpPr>
        <xdr:cNvPr id="6" name="Rectangle: Rounded Corners 5">
          <a:extLst>
            <a:ext uri="{FF2B5EF4-FFF2-40B4-BE49-F238E27FC236}">
              <a16:creationId xmlns:a16="http://schemas.microsoft.com/office/drawing/2014/main" id="{BA417B68-2B07-4CB2-96AB-9C04FFB3D832}"/>
            </a:ext>
          </a:extLst>
        </xdr:cNvPr>
        <xdr:cNvSpPr/>
      </xdr:nvSpPr>
      <xdr:spPr>
        <a:xfrm>
          <a:off x="2273841" y="1271708"/>
          <a:ext cx="2083847" cy="1002386"/>
        </a:xfrm>
        <a:prstGeom prst="roundRect">
          <a:avLst>
            <a:gd name="adj" fmla="val 10606"/>
          </a:avLst>
        </a:prstGeom>
        <a:gradFill flip="none" rotWithShape="1">
          <a:gsLst>
            <a:gs pos="0">
              <a:srgbClr val="DDF2FA"/>
            </a:gs>
            <a:gs pos="50000">
              <a:srgbClr val="8DD5EA"/>
            </a:gs>
            <a:gs pos="100000">
              <a:srgbClr val="4AC0E5"/>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369094</xdr:colOff>
      <xdr:row>0</xdr:row>
      <xdr:rowOff>79425</xdr:rowOff>
    </xdr:from>
    <xdr:to>
      <xdr:col>37</xdr:col>
      <xdr:colOff>559593</xdr:colOff>
      <xdr:row>7</xdr:row>
      <xdr:rowOff>108361</xdr:rowOff>
    </xdr:to>
    <xdr:sp macro="" textlink="">
      <xdr:nvSpPr>
        <xdr:cNvPr id="7" name="Rectangle: Rounded Corners 6">
          <a:extLst>
            <a:ext uri="{FF2B5EF4-FFF2-40B4-BE49-F238E27FC236}">
              <a16:creationId xmlns:a16="http://schemas.microsoft.com/office/drawing/2014/main" id="{E5FBD9AF-F1CF-46B9-B968-9EEAF83465A8}"/>
            </a:ext>
          </a:extLst>
        </xdr:cNvPr>
        <xdr:cNvSpPr/>
      </xdr:nvSpPr>
      <xdr:spPr>
        <a:xfrm>
          <a:off x="2190750" y="79425"/>
          <a:ext cx="20835937" cy="1112405"/>
        </a:xfrm>
        <a:prstGeom prst="roundRect">
          <a:avLst>
            <a:gd name="adj" fmla="val 7363"/>
          </a:avLst>
        </a:prstGeom>
        <a:gradFill flip="none" rotWithShape="1">
          <a:gsLst>
            <a:gs pos="0">
              <a:srgbClr val="073673">
                <a:shade val="30000"/>
                <a:satMod val="115000"/>
              </a:srgbClr>
            </a:gs>
            <a:gs pos="50000">
              <a:srgbClr val="073673">
                <a:shade val="67500"/>
                <a:satMod val="115000"/>
              </a:srgbClr>
            </a:gs>
            <a:gs pos="100000">
              <a:srgbClr val="073673">
                <a:shade val="100000"/>
                <a:satMod val="115000"/>
              </a:srgbClr>
            </a:gs>
          </a:gsLst>
          <a:path path="circle">
            <a:fillToRect t="100000" r="100000"/>
          </a:path>
          <a:tileRect l="-100000" b="-10000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cap="none" spc="0">
              <a:ln w="22225">
                <a:solidFill>
                  <a:schemeClr val="accent2"/>
                </a:solidFill>
                <a:prstDash val="solid"/>
              </a:ln>
              <a:solidFill>
                <a:schemeClr val="accent2">
                  <a:lumMod val="40000"/>
                  <a:lumOff val="60000"/>
                </a:schemeClr>
              </a:solidFill>
              <a:effectLst/>
              <a:latin typeface="Arial Black" panose="020B0A04020102020204" pitchFamily="34" charset="0"/>
              <a:cs typeface="Arial" panose="020B0604020202020204" pitchFamily="34" charset="0"/>
            </a:rPr>
            <a:t>vvvx</a:t>
          </a:r>
        </a:p>
      </xdr:txBody>
    </xdr:sp>
    <xdr:clientData/>
  </xdr:twoCellAnchor>
  <xdr:twoCellAnchor>
    <xdr:from>
      <xdr:col>15</xdr:col>
      <xdr:colOff>247402</xdr:colOff>
      <xdr:row>8</xdr:row>
      <xdr:rowOff>9897</xdr:rowOff>
    </xdr:from>
    <xdr:to>
      <xdr:col>19</xdr:col>
      <xdr:colOff>71438</xdr:colOff>
      <xdr:row>14</xdr:row>
      <xdr:rowOff>142875</xdr:rowOff>
    </xdr:to>
    <xdr:sp macro="" textlink="">
      <xdr:nvSpPr>
        <xdr:cNvPr id="8" name="Rectangle: Rounded Corners 7">
          <a:extLst>
            <a:ext uri="{FF2B5EF4-FFF2-40B4-BE49-F238E27FC236}">
              <a16:creationId xmlns:a16="http://schemas.microsoft.com/office/drawing/2014/main" id="{0A62C97B-B955-4CF8-905E-00C014F08C63}"/>
            </a:ext>
          </a:extLst>
        </xdr:cNvPr>
        <xdr:cNvSpPr/>
      </xdr:nvSpPr>
      <xdr:spPr>
        <a:xfrm>
          <a:off x="9355683" y="1248147"/>
          <a:ext cx="2252911" cy="1061666"/>
        </a:xfrm>
        <a:prstGeom prst="roundRect">
          <a:avLst>
            <a:gd name="adj" fmla="val 10606"/>
          </a:avLst>
        </a:prstGeom>
        <a:gradFill flip="none" rotWithShape="1">
          <a:gsLst>
            <a:gs pos="0">
              <a:srgbClr val="DDF2FA"/>
            </a:gs>
            <a:gs pos="50000">
              <a:srgbClr val="8DD5EA"/>
            </a:gs>
            <a:gs pos="100000">
              <a:srgbClr val="4AC0E5"/>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466184</xdr:colOff>
      <xdr:row>36</xdr:row>
      <xdr:rowOff>142876</xdr:rowOff>
    </xdr:from>
    <xdr:to>
      <xdr:col>11</xdr:col>
      <xdr:colOff>369094</xdr:colOff>
      <xdr:row>60</xdr:row>
      <xdr:rowOff>59532</xdr:rowOff>
    </xdr:to>
    <xdr:sp macro="" textlink="">
      <xdr:nvSpPr>
        <xdr:cNvPr id="15" name="Rectangle: Rounded Corners 14">
          <a:extLst>
            <a:ext uri="{FF2B5EF4-FFF2-40B4-BE49-F238E27FC236}">
              <a16:creationId xmlns:a16="http://schemas.microsoft.com/office/drawing/2014/main" id="{B4064881-510C-4A1F-9B2F-853D496C7FF3}"/>
            </a:ext>
          </a:extLst>
        </xdr:cNvPr>
        <xdr:cNvSpPr/>
      </xdr:nvSpPr>
      <xdr:spPr>
        <a:xfrm>
          <a:off x="2287840" y="5715001"/>
          <a:ext cx="4760660" cy="3631406"/>
        </a:xfrm>
        <a:prstGeom prst="roundRect">
          <a:avLst>
            <a:gd name="adj" fmla="val 6149"/>
          </a:avLst>
        </a:prstGeom>
        <a:gradFill flip="none" rotWithShape="1">
          <a:gsLst>
            <a:gs pos="0">
              <a:srgbClr val="DDF2FA"/>
            </a:gs>
            <a:gs pos="50000">
              <a:srgbClr val="8DD5EA"/>
            </a:gs>
            <a:gs pos="100000">
              <a:srgbClr val="4AC0E5"/>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190499</xdr:colOff>
      <xdr:row>8</xdr:row>
      <xdr:rowOff>23657</xdr:rowOff>
    </xdr:from>
    <xdr:to>
      <xdr:col>36</xdr:col>
      <xdr:colOff>345281</xdr:colOff>
      <xdr:row>36</xdr:row>
      <xdr:rowOff>47625</xdr:rowOff>
    </xdr:to>
    <xdr:sp macro="" textlink="">
      <xdr:nvSpPr>
        <xdr:cNvPr id="16" name="Rectangle: Rounded Corners 15">
          <a:extLst>
            <a:ext uri="{FF2B5EF4-FFF2-40B4-BE49-F238E27FC236}">
              <a16:creationId xmlns:a16="http://schemas.microsoft.com/office/drawing/2014/main" id="{7F6878A5-2EE5-42A4-96E5-E47AEA71059F}"/>
            </a:ext>
          </a:extLst>
        </xdr:cNvPr>
        <xdr:cNvSpPr/>
      </xdr:nvSpPr>
      <xdr:spPr>
        <a:xfrm>
          <a:off x="11727655" y="1261907"/>
          <a:ext cx="10477501" cy="4357843"/>
        </a:xfrm>
        <a:prstGeom prst="roundRect">
          <a:avLst>
            <a:gd name="adj" fmla="val 6676"/>
          </a:avLst>
        </a:prstGeom>
        <a:gradFill flip="none" rotWithShape="1">
          <a:gsLst>
            <a:gs pos="0">
              <a:srgbClr val="DDF2FA"/>
            </a:gs>
            <a:gs pos="50000">
              <a:srgbClr val="8DD5EA"/>
            </a:gs>
            <a:gs pos="100000">
              <a:srgbClr val="4AC0E5"/>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416719</xdr:colOff>
      <xdr:row>15</xdr:row>
      <xdr:rowOff>23813</xdr:rowOff>
    </xdr:from>
    <xdr:to>
      <xdr:col>11</xdr:col>
      <xdr:colOff>273844</xdr:colOff>
      <xdr:row>36</xdr:row>
      <xdr:rowOff>47625</xdr:rowOff>
    </xdr:to>
    <xdr:sp macro="" textlink="">
      <xdr:nvSpPr>
        <xdr:cNvPr id="17" name="Rectangle: Rounded Corners 16">
          <a:extLst>
            <a:ext uri="{FF2B5EF4-FFF2-40B4-BE49-F238E27FC236}">
              <a16:creationId xmlns:a16="http://schemas.microsoft.com/office/drawing/2014/main" id="{F7D20CD9-CBEF-4EB5-B01D-14B268D22101}"/>
            </a:ext>
          </a:extLst>
        </xdr:cNvPr>
        <xdr:cNvSpPr/>
      </xdr:nvSpPr>
      <xdr:spPr>
        <a:xfrm>
          <a:off x="2238375" y="2345532"/>
          <a:ext cx="4714875" cy="3274218"/>
        </a:xfrm>
        <a:prstGeom prst="roundRect">
          <a:avLst>
            <a:gd name="adj" fmla="val 5752"/>
          </a:avLst>
        </a:prstGeom>
        <a:gradFill flip="none" rotWithShape="1">
          <a:gsLst>
            <a:gs pos="0">
              <a:srgbClr val="DDF2FA"/>
            </a:gs>
            <a:gs pos="50000">
              <a:srgbClr val="8DD5EA"/>
            </a:gs>
            <a:gs pos="100000">
              <a:srgbClr val="4AC0E5"/>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10</xdr:col>
      <xdr:colOff>0</xdr:colOff>
      <xdr:row>74</xdr:row>
      <xdr:rowOff>0</xdr:rowOff>
    </xdr:from>
    <xdr:ext cx="7772400" cy="233205"/>
    <xdr:sp macro="" textlink="">
      <xdr:nvSpPr>
        <xdr:cNvPr id="22" name="TextBox 21">
          <a:extLst>
            <a:ext uri="{FF2B5EF4-FFF2-40B4-BE49-F238E27FC236}">
              <a16:creationId xmlns:a16="http://schemas.microsoft.com/office/drawing/2014/main" id="{A5F8F69E-FF18-473F-8319-BA2DD630978A}"/>
            </a:ext>
          </a:extLst>
        </xdr:cNvPr>
        <xdr:cNvSpPr txBox="1"/>
      </xdr:nvSpPr>
      <xdr:spPr>
        <a:xfrm>
          <a:off x="6096000" y="11277600"/>
          <a:ext cx="77724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a:hlinkClick xmlns:r="http://schemas.openxmlformats.org/officeDocument/2006/relationships" r:id="rId1" tooltip="https://anakjajan.com/tag/neo-soho-restaurant/"/>
            </a:rPr>
            <a:t>This Photo</a:t>
          </a:r>
          <a:r>
            <a:rPr lang="en-US" sz="900"/>
            <a:t> by Unknown Author is licensed under </a:t>
          </a:r>
          <a:r>
            <a:rPr lang="en-US" sz="900">
              <a:hlinkClick xmlns:r="http://schemas.openxmlformats.org/officeDocument/2006/relationships" r:id="rId2" tooltip="https://creativecommons.org/licenses/by-nc-nd/3.0/"/>
            </a:rPr>
            <a:t>CC BY-NC-ND</a:t>
          </a:r>
          <a:endParaRPr lang="en-US" sz="900"/>
        </a:p>
      </xdr:txBody>
    </xdr:sp>
    <xdr:clientData/>
  </xdr:oneCellAnchor>
  <xdr:oneCellAnchor>
    <xdr:from>
      <xdr:col>10</xdr:col>
      <xdr:colOff>0</xdr:colOff>
      <xdr:row>74</xdr:row>
      <xdr:rowOff>0</xdr:rowOff>
    </xdr:from>
    <xdr:ext cx="7772400" cy="233205"/>
    <xdr:sp macro="" textlink="">
      <xdr:nvSpPr>
        <xdr:cNvPr id="25" name="TextBox 24">
          <a:extLst>
            <a:ext uri="{FF2B5EF4-FFF2-40B4-BE49-F238E27FC236}">
              <a16:creationId xmlns:a16="http://schemas.microsoft.com/office/drawing/2014/main" id="{605E66FE-CB6E-4EB6-AF36-B9B37758FD1F}"/>
            </a:ext>
          </a:extLst>
        </xdr:cNvPr>
        <xdr:cNvSpPr txBox="1"/>
      </xdr:nvSpPr>
      <xdr:spPr>
        <a:xfrm>
          <a:off x="6096000" y="11277600"/>
          <a:ext cx="77724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a:hlinkClick xmlns:r="http://schemas.openxmlformats.org/officeDocument/2006/relationships" r:id="rId1" tooltip="https://anakjajan.com/tag/neo-soho-restaurant/"/>
            </a:rPr>
            <a:t>This Photo</a:t>
          </a:r>
          <a:r>
            <a:rPr lang="en-US" sz="900"/>
            <a:t> by Unknown Author is licensed under </a:t>
          </a:r>
          <a:r>
            <a:rPr lang="en-US" sz="900">
              <a:hlinkClick xmlns:r="http://schemas.openxmlformats.org/officeDocument/2006/relationships" r:id="rId2" tooltip="https://creativecommons.org/licenses/by-nc-nd/3.0/"/>
            </a:rPr>
            <a:t>CC BY-NC-ND</a:t>
          </a:r>
          <a:endParaRPr lang="en-US" sz="900"/>
        </a:p>
      </xdr:txBody>
    </xdr:sp>
    <xdr:clientData/>
  </xdr:oneCellAnchor>
  <xdr:oneCellAnchor>
    <xdr:from>
      <xdr:col>6</xdr:col>
      <xdr:colOff>321758</xdr:colOff>
      <xdr:row>2</xdr:row>
      <xdr:rowOff>8452</xdr:rowOff>
    </xdr:from>
    <xdr:ext cx="8519160" cy="593304"/>
    <xdr:sp macro="" textlink="">
      <xdr:nvSpPr>
        <xdr:cNvPr id="27" name="TextBox 26">
          <a:extLst>
            <a:ext uri="{FF2B5EF4-FFF2-40B4-BE49-F238E27FC236}">
              <a16:creationId xmlns:a16="http://schemas.microsoft.com/office/drawing/2014/main" id="{EDC1AD93-4823-4710-A48B-9095F152AE21}"/>
            </a:ext>
          </a:extLst>
        </xdr:cNvPr>
        <xdr:cNvSpPr txBox="1"/>
      </xdr:nvSpPr>
      <xdr:spPr>
        <a:xfrm>
          <a:off x="3965071" y="318015"/>
          <a:ext cx="8519160" cy="593304"/>
        </a:xfrm>
        <a:prstGeom prst="rect">
          <a:avLst/>
        </a:prstGeom>
        <a:no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b="1">
              <a:solidFill>
                <a:schemeClr val="bg1"/>
              </a:solidFill>
              <a:latin typeface="+mn-lt"/>
            </a:rPr>
            <a:t>RESTAURANT</a:t>
          </a:r>
          <a:r>
            <a:rPr lang="en-US" sz="3200" b="1" baseline="0">
              <a:solidFill>
                <a:schemeClr val="bg1"/>
              </a:solidFill>
              <a:latin typeface="+mn-lt"/>
            </a:rPr>
            <a:t> TABLE TURNOVER ANALYSIS</a:t>
          </a:r>
          <a:endParaRPr lang="en-US" sz="3200" b="1">
            <a:solidFill>
              <a:schemeClr val="bg1"/>
            </a:solidFill>
            <a:latin typeface="+mn-lt"/>
          </a:endParaRPr>
        </a:p>
      </xdr:txBody>
    </xdr:sp>
    <xdr:clientData/>
  </xdr:oneCellAnchor>
  <xdr:twoCellAnchor editAs="oneCell">
    <xdr:from>
      <xdr:col>3</xdr:col>
      <xdr:colOff>511426</xdr:colOff>
      <xdr:row>0</xdr:row>
      <xdr:rowOff>140615</xdr:rowOff>
    </xdr:from>
    <xdr:to>
      <xdr:col>6</xdr:col>
      <xdr:colOff>81825</xdr:colOff>
      <xdr:row>6</xdr:row>
      <xdr:rowOff>69176</xdr:rowOff>
    </xdr:to>
    <xdr:pic>
      <xdr:nvPicPr>
        <xdr:cNvPr id="29" name="Picture 28">
          <a:extLst>
            <a:ext uri="{FF2B5EF4-FFF2-40B4-BE49-F238E27FC236}">
              <a16:creationId xmlns:a16="http://schemas.microsoft.com/office/drawing/2014/main" id="{C0EAA256-5E92-4A2E-ABD3-27F9317E83AF}"/>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rcRect l="8980" t="13826" r="21006" b="-1"/>
        <a:stretch/>
      </xdr:blipFill>
      <xdr:spPr>
        <a:xfrm>
          <a:off x="2333082" y="140615"/>
          <a:ext cx="1570649" cy="928686"/>
        </a:xfrm>
        <a:prstGeom prst="rect">
          <a:avLst/>
        </a:prstGeom>
        <a:effectLst>
          <a:outerShdw blurRad="50800" dist="38100" dir="2700000" algn="tl" rotWithShape="0">
            <a:prstClr val="black">
              <a:alpha val="40000"/>
            </a:prstClr>
          </a:outerShdw>
        </a:effectLst>
      </xdr:spPr>
    </xdr:pic>
    <xdr:clientData/>
  </xdr:twoCellAnchor>
  <xdr:oneCellAnchor>
    <xdr:from>
      <xdr:col>8</xdr:col>
      <xdr:colOff>205740</xdr:colOff>
      <xdr:row>51</xdr:row>
      <xdr:rowOff>120269</xdr:rowOff>
    </xdr:from>
    <xdr:ext cx="4000500" cy="161713"/>
    <xdr:sp macro="" textlink="">
      <xdr:nvSpPr>
        <xdr:cNvPr id="30" name="TextBox 29">
          <a:extLst>
            <a:ext uri="{FF2B5EF4-FFF2-40B4-BE49-F238E27FC236}">
              <a16:creationId xmlns:a16="http://schemas.microsoft.com/office/drawing/2014/main" id="{42977F53-8F40-4A69-ADF1-28EB3AC1A1D8}"/>
            </a:ext>
          </a:extLst>
        </xdr:cNvPr>
        <xdr:cNvSpPr txBox="1"/>
      </xdr:nvSpPr>
      <xdr:spPr>
        <a:xfrm>
          <a:off x="5082540" y="7892669"/>
          <a:ext cx="4000500" cy="1617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900"/>
        </a:p>
      </xdr:txBody>
    </xdr:sp>
    <xdr:clientData/>
  </xdr:oneCellAnchor>
  <xdr:twoCellAnchor editAs="oneCell">
    <xdr:from>
      <xdr:col>0</xdr:col>
      <xdr:colOff>248976</xdr:colOff>
      <xdr:row>8</xdr:row>
      <xdr:rowOff>119063</xdr:rowOff>
    </xdr:from>
    <xdr:to>
      <xdr:col>3</xdr:col>
      <xdr:colOff>12507</xdr:colOff>
      <xdr:row>21</xdr:row>
      <xdr:rowOff>22154</xdr:rowOff>
    </xdr:to>
    <mc:AlternateContent xmlns:mc="http://schemas.openxmlformats.org/markup-compatibility/2006" xmlns:a14="http://schemas.microsoft.com/office/drawing/2010/main">
      <mc:Choice Requires="a14">
        <xdr:graphicFrame macro="">
          <xdr:nvGraphicFramePr>
            <xdr:cNvPr id="24" name="Order_Date 2">
              <a:extLst>
                <a:ext uri="{FF2B5EF4-FFF2-40B4-BE49-F238E27FC236}">
                  <a16:creationId xmlns:a16="http://schemas.microsoft.com/office/drawing/2014/main" id="{C242444E-36AD-4336-B597-9AA02BC5E42F}"/>
                </a:ext>
              </a:extLst>
            </xdr:cNvPr>
            <xdr:cNvGraphicFramePr/>
          </xdr:nvGraphicFramePr>
          <xdr:xfrm>
            <a:off x="0" y="0"/>
            <a:ext cx="0" cy="0"/>
          </xdr:xfrm>
          <a:graphic>
            <a:graphicData uri="http://schemas.microsoft.com/office/drawing/2010/slicer">
              <sle:slicer xmlns:sle="http://schemas.microsoft.com/office/drawing/2010/slicer" name="Order_Date 2"/>
            </a:graphicData>
          </a:graphic>
        </xdr:graphicFrame>
      </mc:Choice>
      <mc:Fallback xmlns="">
        <xdr:sp macro="" textlink="">
          <xdr:nvSpPr>
            <xdr:cNvPr id="0" name=""/>
            <xdr:cNvSpPr>
              <a:spLocks noTextEdit="1"/>
            </xdr:cNvSpPr>
          </xdr:nvSpPr>
          <xdr:spPr>
            <a:xfrm>
              <a:off x="248976" y="1357313"/>
              <a:ext cx="1763781" cy="20700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238125</xdr:colOff>
      <xdr:row>22</xdr:row>
      <xdr:rowOff>131984</xdr:rowOff>
    </xdr:from>
    <xdr:to>
      <xdr:col>2</xdr:col>
      <xdr:colOff>587384</xdr:colOff>
      <xdr:row>38</xdr:row>
      <xdr:rowOff>48038</xdr:rowOff>
    </xdr:to>
    <mc:AlternateContent xmlns:mc="http://schemas.openxmlformats.org/markup-compatibility/2006" xmlns:a14="http://schemas.microsoft.com/office/drawing/2010/main">
      <mc:Choice Requires="a14">
        <xdr:graphicFrame macro="">
          <xdr:nvGraphicFramePr>
            <xdr:cNvPr id="28" name="Table_No 1">
              <a:extLst>
                <a:ext uri="{FF2B5EF4-FFF2-40B4-BE49-F238E27FC236}">
                  <a16:creationId xmlns:a16="http://schemas.microsoft.com/office/drawing/2014/main" id="{922C665C-359A-4A41-85B2-3811704B2985}"/>
                </a:ext>
              </a:extLst>
            </xdr:cNvPr>
            <xdr:cNvGraphicFramePr/>
          </xdr:nvGraphicFramePr>
          <xdr:xfrm>
            <a:off x="0" y="0"/>
            <a:ext cx="0" cy="0"/>
          </xdr:xfrm>
          <a:graphic>
            <a:graphicData uri="http://schemas.microsoft.com/office/drawing/2010/slicer">
              <sle:slicer xmlns:sle="http://schemas.microsoft.com/office/drawing/2010/slicer" name="Table_No 1"/>
            </a:graphicData>
          </a:graphic>
        </xdr:graphicFrame>
      </mc:Choice>
      <mc:Fallback xmlns="">
        <xdr:sp macro="" textlink="">
          <xdr:nvSpPr>
            <xdr:cNvPr id="0" name=""/>
            <xdr:cNvSpPr>
              <a:spLocks noTextEdit="1"/>
            </xdr:cNvSpPr>
          </xdr:nvSpPr>
          <xdr:spPr>
            <a:xfrm>
              <a:off x="238125" y="3537172"/>
              <a:ext cx="1682759" cy="25830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190540</xdr:colOff>
      <xdr:row>1</xdr:row>
      <xdr:rowOff>24191</xdr:rowOff>
    </xdr:from>
    <xdr:to>
      <xdr:col>28</xdr:col>
      <xdr:colOff>390481</xdr:colOff>
      <xdr:row>6</xdr:row>
      <xdr:rowOff>143633</xdr:rowOff>
    </xdr:to>
    <mc:AlternateContent xmlns:mc="http://schemas.openxmlformats.org/markup-compatibility/2006" xmlns:a14="http://schemas.microsoft.com/office/drawing/2010/main">
      <mc:Choice Requires="a14">
        <xdr:graphicFrame macro="">
          <xdr:nvGraphicFramePr>
            <xdr:cNvPr id="35" name="Meal_Type 1">
              <a:extLst>
                <a:ext uri="{FF2B5EF4-FFF2-40B4-BE49-F238E27FC236}">
                  <a16:creationId xmlns:a16="http://schemas.microsoft.com/office/drawing/2014/main" id="{86921AB1-099A-4589-B773-5CBEF5382143}"/>
                </a:ext>
              </a:extLst>
            </xdr:cNvPr>
            <xdr:cNvGraphicFramePr/>
          </xdr:nvGraphicFramePr>
          <xdr:xfrm>
            <a:off x="0" y="0"/>
            <a:ext cx="0" cy="0"/>
          </xdr:xfrm>
          <a:graphic>
            <a:graphicData uri="http://schemas.microsoft.com/office/drawing/2010/slicer">
              <sle:slicer xmlns:sle="http://schemas.microsoft.com/office/drawing/2010/slicer" name="Meal_Type 1"/>
            </a:graphicData>
          </a:graphic>
        </xdr:graphicFrame>
      </mc:Choice>
      <mc:Fallback xmlns="">
        <xdr:sp macro="" textlink="">
          <xdr:nvSpPr>
            <xdr:cNvPr id="0" name=""/>
            <xdr:cNvSpPr>
              <a:spLocks noTextEdit="1"/>
            </xdr:cNvSpPr>
          </xdr:nvSpPr>
          <xdr:spPr>
            <a:xfrm>
              <a:off x="16271368" y="194984"/>
              <a:ext cx="2880079" cy="9734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276679</xdr:colOff>
      <xdr:row>41</xdr:row>
      <xdr:rowOff>11686</xdr:rowOff>
    </xdr:from>
    <xdr:to>
      <xdr:col>2</xdr:col>
      <xdr:colOff>556760</xdr:colOff>
      <xdr:row>52</xdr:row>
      <xdr:rowOff>117580</xdr:rowOff>
    </xdr:to>
    <mc:AlternateContent xmlns:mc="http://schemas.openxmlformats.org/markup-compatibility/2006" xmlns:a14="http://schemas.microsoft.com/office/drawing/2010/main">
      <mc:Choice Requires="a14">
        <xdr:graphicFrame macro="">
          <xdr:nvGraphicFramePr>
            <xdr:cNvPr id="36" name="Table_Area 1">
              <a:extLst>
                <a:ext uri="{FF2B5EF4-FFF2-40B4-BE49-F238E27FC236}">
                  <a16:creationId xmlns:a16="http://schemas.microsoft.com/office/drawing/2014/main" id="{BCCC5B4E-9036-46AC-B4D0-DEEF57E757C8}"/>
                </a:ext>
              </a:extLst>
            </xdr:cNvPr>
            <xdr:cNvGraphicFramePr/>
          </xdr:nvGraphicFramePr>
          <xdr:xfrm>
            <a:off x="0" y="0"/>
            <a:ext cx="0" cy="0"/>
          </xdr:xfrm>
          <a:graphic>
            <a:graphicData uri="http://schemas.microsoft.com/office/drawing/2010/slicer">
              <sle:slicer xmlns:sle="http://schemas.microsoft.com/office/drawing/2010/slicer" name="Table_Area 1"/>
            </a:graphicData>
          </a:graphic>
        </xdr:graphicFrame>
      </mc:Choice>
      <mc:Fallback xmlns="">
        <xdr:sp macro="" textlink="">
          <xdr:nvSpPr>
            <xdr:cNvPr id="0" name=""/>
            <xdr:cNvSpPr>
              <a:spLocks noTextEdit="1"/>
            </xdr:cNvSpPr>
          </xdr:nvSpPr>
          <xdr:spPr>
            <a:xfrm>
              <a:off x="276679" y="6357717"/>
              <a:ext cx="1613581" cy="19394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317735</xdr:colOff>
      <xdr:row>8</xdr:row>
      <xdr:rowOff>41729</xdr:rowOff>
    </xdr:from>
    <xdr:to>
      <xdr:col>16</xdr:col>
      <xdr:colOff>106255</xdr:colOff>
      <xdr:row>13</xdr:row>
      <xdr:rowOff>2240</xdr:rowOff>
    </xdr:to>
    <xdr:pic>
      <xdr:nvPicPr>
        <xdr:cNvPr id="4" name="Graphic 3" descr="Money with solid fill">
          <a:extLst>
            <a:ext uri="{FF2B5EF4-FFF2-40B4-BE49-F238E27FC236}">
              <a16:creationId xmlns:a16="http://schemas.microsoft.com/office/drawing/2014/main" id="{6BBC3FEF-320F-4A76-9EA1-58EC91825A5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9426016" y="1279979"/>
          <a:ext cx="455270" cy="793949"/>
        </a:xfrm>
        <a:prstGeom prst="rect">
          <a:avLst/>
        </a:prstGeom>
      </xdr:spPr>
    </xdr:pic>
    <xdr:clientData/>
  </xdr:twoCellAnchor>
  <xdr:twoCellAnchor>
    <xdr:from>
      <xdr:col>4</xdr:col>
      <xdr:colOff>88763</xdr:colOff>
      <xdr:row>8</xdr:row>
      <xdr:rowOff>121676</xdr:rowOff>
    </xdr:from>
    <xdr:to>
      <xdr:col>7</xdr:col>
      <xdr:colOff>204512</xdr:colOff>
      <xdr:row>11</xdr:row>
      <xdr:rowOff>24768</xdr:rowOff>
    </xdr:to>
    <xdr:sp macro="" textlink="">
      <xdr:nvSpPr>
        <xdr:cNvPr id="20" name="TextBox 19">
          <a:extLst>
            <a:ext uri="{FF2B5EF4-FFF2-40B4-BE49-F238E27FC236}">
              <a16:creationId xmlns:a16="http://schemas.microsoft.com/office/drawing/2014/main" id="{19E309E6-2C9E-4E52-A471-FEC1AEE032D8}"/>
            </a:ext>
          </a:extLst>
        </xdr:cNvPr>
        <xdr:cNvSpPr txBox="1"/>
      </xdr:nvSpPr>
      <xdr:spPr>
        <a:xfrm>
          <a:off x="2517638" y="1359926"/>
          <a:ext cx="1937405" cy="367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1"/>
              </a:solidFill>
              <a:latin typeface="Arial Narrow" panose="020B0606020202030204" pitchFamily="34" charset="0"/>
              <a:cs typeface="Arial" panose="020B0604020202020204" pitchFamily="34" charset="0"/>
            </a:rPr>
            <a:t>Total</a:t>
          </a:r>
          <a:r>
            <a:rPr lang="en-US" sz="2400" b="1" baseline="0">
              <a:solidFill>
                <a:schemeClr val="tx1"/>
              </a:solidFill>
              <a:latin typeface="Arial Narrow" panose="020B0606020202030204" pitchFamily="34" charset="0"/>
              <a:cs typeface="Arial" panose="020B0604020202020204" pitchFamily="34" charset="0"/>
            </a:rPr>
            <a:t> Revenue</a:t>
          </a:r>
          <a:endParaRPr lang="en-US" sz="2400" b="1">
            <a:solidFill>
              <a:schemeClr val="tx1"/>
            </a:solidFill>
            <a:latin typeface="Arial Narrow" panose="020B0606020202030204" pitchFamily="34" charset="0"/>
            <a:cs typeface="Arial" panose="020B0604020202020204" pitchFamily="34" charset="0"/>
          </a:endParaRPr>
        </a:p>
      </xdr:txBody>
    </xdr:sp>
    <xdr:clientData/>
  </xdr:twoCellAnchor>
  <xdr:twoCellAnchor>
    <xdr:from>
      <xdr:col>8</xdr:col>
      <xdr:colOff>69272</xdr:colOff>
      <xdr:row>9</xdr:row>
      <xdr:rowOff>138546</xdr:rowOff>
    </xdr:from>
    <xdr:to>
      <xdr:col>11</xdr:col>
      <xdr:colOff>185021</xdr:colOff>
      <xdr:row>12</xdr:row>
      <xdr:rowOff>47978</xdr:rowOff>
    </xdr:to>
    <xdr:sp macro="" textlink="">
      <xdr:nvSpPr>
        <xdr:cNvPr id="37" name="TextBox 36">
          <a:extLst>
            <a:ext uri="{FF2B5EF4-FFF2-40B4-BE49-F238E27FC236}">
              <a16:creationId xmlns:a16="http://schemas.microsoft.com/office/drawing/2014/main" id="{B6D58EEA-7C98-43F6-A96D-92E429E1FA8D}"/>
            </a:ext>
          </a:extLst>
        </xdr:cNvPr>
        <xdr:cNvSpPr txBox="1"/>
      </xdr:nvSpPr>
      <xdr:spPr>
        <a:xfrm>
          <a:off x="4977740" y="1474520"/>
          <a:ext cx="1956424" cy="354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1">
            <a:solidFill>
              <a:schemeClr val="tx1"/>
            </a:solidFill>
            <a:latin typeface="Arial Narrow" panose="020B0606020202030204" pitchFamily="34" charset="0"/>
            <a:cs typeface="Arial" panose="020B0604020202020204" pitchFamily="34" charset="0"/>
          </a:endParaRPr>
        </a:p>
      </xdr:txBody>
    </xdr:sp>
    <xdr:clientData/>
  </xdr:twoCellAnchor>
  <xdr:twoCellAnchor>
    <xdr:from>
      <xdr:col>7</xdr:col>
      <xdr:colOff>190500</xdr:colOff>
      <xdr:row>8</xdr:row>
      <xdr:rowOff>7580</xdr:rowOff>
    </xdr:from>
    <xdr:to>
      <xdr:col>10</xdr:col>
      <xdr:colOff>428625</xdr:colOff>
      <xdr:row>14</xdr:row>
      <xdr:rowOff>142875</xdr:rowOff>
    </xdr:to>
    <xdr:sp macro="" textlink="">
      <xdr:nvSpPr>
        <xdr:cNvPr id="38" name="Rectangle: Rounded Corners 37">
          <a:extLst>
            <a:ext uri="{FF2B5EF4-FFF2-40B4-BE49-F238E27FC236}">
              <a16:creationId xmlns:a16="http://schemas.microsoft.com/office/drawing/2014/main" id="{5587FBA0-4829-486C-9CDF-D28FBCEAC50B}"/>
            </a:ext>
          </a:extLst>
        </xdr:cNvPr>
        <xdr:cNvSpPr/>
      </xdr:nvSpPr>
      <xdr:spPr>
        <a:xfrm>
          <a:off x="4441031" y="1245830"/>
          <a:ext cx="2059782" cy="1063983"/>
        </a:xfrm>
        <a:prstGeom prst="roundRect">
          <a:avLst>
            <a:gd name="adj" fmla="val 10606"/>
          </a:avLst>
        </a:prstGeom>
        <a:gradFill flip="none" rotWithShape="1">
          <a:gsLst>
            <a:gs pos="0">
              <a:srgbClr val="DDF2FA"/>
            </a:gs>
            <a:gs pos="50000">
              <a:srgbClr val="8DD5EA"/>
            </a:gs>
            <a:gs pos="100000">
              <a:srgbClr val="4AC0E5"/>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498828</xdr:colOff>
      <xdr:row>8</xdr:row>
      <xdr:rowOff>5565</xdr:rowOff>
    </xdr:from>
    <xdr:to>
      <xdr:col>15</xdr:col>
      <xdr:colOff>182151</xdr:colOff>
      <xdr:row>14</xdr:row>
      <xdr:rowOff>137297</xdr:rowOff>
    </xdr:to>
    <xdr:sp macro="" textlink="">
      <xdr:nvSpPr>
        <xdr:cNvPr id="39" name="Rectangle: Rounded Corners 38">
          <a:extLst>
            <a:ext uri="{FF2B5EF4-FFF2-40B4-BE49-F238E27FC236}">
              <a16:creationId xmlns:a16="http://schemas.microsoft.com/office/drawing/2014/main" id="{FAC9EABD-5146-4C29-8CAA-B275D86DD310}"/>
            </a:ext>
          </a:extLst>
        </xdr:cNvPr>
        <xdr:cNvSpPr/>
      </xdr:nvSpPr>
      <xdr:spPr>
        <a:xfrm>
          <a:off x="6571016" y="1243815"/>
          <a:ext cx="2719416" cy="1060420"/>
        </a:xfrm>
        <a:prstGeom prst="roundRect">
          <a:avLst>
            <a:gd name="adj" fmla="val 10606"/>
          </a:avLst>
        </a:prstGeom>
        <a:gradFill flip="none" rotWithShape="1">
          <a:gsLst>
            <a:gs pos="0">
              <a:srgbClr val="DDF2FA"/>
            </a:gs>
            <a:gs pos="50000">
              <a:srgbClr val="8DD5EA"/>
            </a:gs>
            <a:gs pos="100000">
              <a:srgbClr val="4AC0E5"/>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592221</xdr:colOff>
      <xdr:row>8</xdr:row>
      <xdr:rowOff>124938</xdr:rowOff>
    </xdr:from>
    <xdr:to>
      <xdr:col>11</xdr:col>
      <xdr:colOff>100752</xdr:colOff>
      <xdr:row>11</xdr:row>
      <xdr:rowOff>28030</xdr:rowOff>
    </xdr:to>
    <xdr:sp macro="" textlink="">
      <xdr:nvSpPr>
        <xdr:cNvPr id="41" name="TextBox 40">
          <a:extLst>
            <a:ext uri="{FF2B5EF4-FFF2-40B4-BE49-F238E27FC236}">
              <a16:creationId xmlns:a16="http://schemas.microsoft.com/office/drawing/2014/main" id="{A2004CFB-71D4-4B06-AF6E-24ABE7C211AB}"/>
            </a:ext>
          </a:extLst>
        </xdr:cNvPr>
        <xdr:cNvSpPr txBox="1"/>
      </xdr:nvSpPr>
      <xdr:spPr>
        <a:xfrm>
          <a:off x="4842752" y="1363188"/>
          <a:ext cx="1937406" cy="367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1"/>
              </a:solidFill>
              <a:latin typeface="Arial Narrow" panose="020B0606020202030204" pitchFamily="34" charset="0"/>
              <a:cs typeface="Arial" panose="020B0604020202020204" pitchFamily="34" charset="0"/>
            </a:rPr>
            <a:t>Total</a:t>
          </a:r>
          <a:r>
            <a:rPr lang="en-US" sz="2400" b="1" baseline="0">
              <a:solidFill>
                <a:schemeClr val="tx1"/>
              </a:solidFill>
              <a:latin typeface="Arial Narrow" panose="020B0606020202030204" pitchFamily="34" charset="0"/>
              <a:cs typeface="Arial" panose="020B0604020202020204" pitchFamily="34" charset="0"/>
            </a:rPr>
            <a:t> Orders</a:t>
          </a:r>
          <a:endParaRPr lang="en-US" sz="2400" b="1">
            <a:solidFill>
              <a:schemeClr val="tx1"/>
            </a:solidFill>
            <a:latin typeface="Arial Narrow" panose="020B0606020202030204" pitchFamily="34" charset="0"/>
            <a:cs typeface="Arial" panose="020B0604020202020204" pitchFamily="34" charset="0"/>
          </a:endParaRPr>
        </a:p>
      </xdr:txBody>
    </xdr:sp>
    <xdr:clientData/>
  </xdr:twoCellAnchor>
  <xdr:twoCellAnchor editAs="oneCell">
    <xdr:from>
      <xdr:col>7</xdr:col>
      <xdr:colOff>164674</xdr:colOff>
      <xdr:row>8</xdr:row>
      <xdr:rowOff>109012</xdr:rowOff>
    </xdr:from>
    <xdr:to>
      <xdr:col>7</xdr:col>
      <xdr:colOff>659479</xdr:colOff>
      <xdr:row>12</xdr:row>
      <xdr:rowOff>110867</xdr:rowOff>
    </xdr:to>
    <xdr:pic>
      <xdr:nvPicPr>
        <xdr:cNvPr id="43" name="Graphic 42" descr="Checklist with solid fill">
          <a:extLst>
            <a:ext uri="{FF2B5EF4-FFF2-40B4-BE49-F238E27FC236}">
              <a16:creationId xmlns:a16="http://schemas.microsoft.com/office/drawing/2014/main" id="{09404D37-9B33-4AFA-BC56-9E9488E9B6D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4415205" y="1347262"/>
          <a:ext cx="494805" cy="668605"/>
        </a:xfrm>
        <a:prstGeom prst="rect">
          <a:avLst/>
        </a:prstGeom>
      </xdr:spPr>
    </xdr:pic>
    <xdr:clientData/>
  </xdr:twoCellAnchor>
  <xdr:twoCellAnchor>
    <xdr:from>
      <xdr:col>11</xdr:col>
      <xdr:colOff>376053</xdr:colOff>
      <xdr:row>8</xdr:row>
      <xdr:rowOff>1</xdr:rowOff>
    </xdr:from>
    <xdr:to>
      <xdr:col>15</xdr:col>
      <xdr:colOff>373048</xdr:colOff>
      <xdr:row>10</xdr:row>
      <xdr:rowOff>57874</xdr:rowOff>
    </xdr:to>
    <xdr:sp macro="" textlink="">
      <xdr:nvSpPr>
        <xdr:cNvPr id="44" name="TextBox 43">
          <a:extLst>
            <a:ext uri="{FF2B5EF4-FFF2-40B4-BE49-F238E27FC236}">
              <a16:creationId xmlns:a16="http://schemas.microsoft.com/office/drawing/2014/main" id="{7D5981DB-A377-4986-97FC-31A1CDFE26C0}"/>
            </a:ext>
          </a:extLst>
        </xdr:cNvPr>
        <xdr:cNvSpPr txBox="1"/>
      </xdr:nvSpPr>
      <xdr:spPr>
        <a:xfrm>
          <a:off x="7125196" y="1187533"/>
          <a:ext cx="2451229" cy="354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1"/>
              </a:solidFill>
              <a:latin typeface="Arial Narrow" panose="020B0606020202030204" pitchFamily="34" charset="0"/>
              <a:cs typeface="Arial" panose="020B0604020202020204" pitchFamily="34" charset="0"/>
            </a:rPr>
            <a:t>Total</a:t>
          </a:r>
          <a:r>
            <a:rPr lang="en-US" sz="2400" b="1" baseline="0">
              <a:solidFill>
                <a:schemeClr val="tx1"/>
              </a:solidFill>
              <a:latin typeface="Arial Narrow" panose="020B0606020202030204" pitchFamily="34" charset="0"/>
              <a:cs typeface="Arial" panose="020B0604020202020204" pitchFamily="34" charset="0"/>
            </a:rPr>
            <a:t> Customers</a:t>
          </a:r>
          <a:endParaRPr lang="en-US" sz="2400" b="1">
            <a:solidFill>
              <a:schemeClr val="tx1"/>
            </a:solidFill>
            <a:latin typeface="Arial Narrow" panose="020B0606020202030204" pitchFamily="34" charset="0"/>
            <a:cs typeface="Arial" panose="020B0604020202020204" pitchFamily="34" charset="0"/>
          </a:endParaRPr>
        </a:p>
      </xdr:txBody>
    </xdr:sp>
    <xdr:clientData/>
  </xdr:twoCellAnchor>
  <xdr:twoCellAnchor editAs="oneCell">
    <xdr:from>
      <xdr:col>10</xdr:col>
      <xdr:colOff>544286</xdr:colOff>
      <xdr:row>8</xdr:row>
      <xdr:rowOff>49481</xdr:rowOff>
    </xdr:from>
    <xdr:to>
      <xdr:col>11</xdr:col>
      <xdr:colOff>356104</xdr:colOff>
      <xdr:row>12</xdr:row>
      <xdr:rowOff>21646</xdr:rowOff>
    </xdr:to>
    <xdr:pic>
      <xdr:nvPicPr>
        <xdr:cNvPr id="46" name="Graphic 45" descr="Customer review with solid fill">
          <a:extLst>
            <a:ext uri="{FF2B5EF4-FFF2-40B4-BE49-F238E27FC236}">
              <a16:creationId xmlns:a16="http://schemas.microsoft.com/office/drawing/2014/main" id="{2866B534-EED0-41A5-901B-EE398272849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6679870" y="1237013"/>
          <a:ext cx="484909" cy="613557"/>
        </a:xfrm>
        <a:prstGeom prst="rect">
          <a:avLst/>
        </a:prstGeom>
      </xdr:spPr>
    </xdr:pic>
    <xdr:clientData/>
  </xdr:twoCellAnchor>
  <xdr:twoCellAnchor>
    <xdr:from>
      <xdr:col>16</xdr:col>
      <xdr:colOff>197334</xdr:colOff>
      <xdr:row>8</xdr:row>
      <xdr:rowOff>81245</xdr:rowOff>
    </xdr:from>
    <xdr:to>
      <xdr:col>19</xdr:col>
      <xdr:colOff>313083</xdr:colOff>
      <xdr:row>11</xdr:row>
      <xdr:rowOff>81244</xdr:rowOff>
    </xdr:to>
    <xdr:sp macro="" textlink="">
      <xdr:nvSpPr>
        <xdr:cNvPr id="47" name="TextBox 46">
          <a:extLst>
            <a:ext uri="{FF2B5EF4-FFF2-40B4-BE49-F238E27FC236}">
              <a16:creationId xmlns:a16="http://schemas.microsoft.com/office/drawing/2014/main" id="{F15A9A3B-872A-4483-81E5-B46B032C4B87}"/>
            </a:ext>
          </a:extLst>
        </xdr:cNvPr>
        <xdr:cNvSpPr txBox="1"/>
      </xdr:nvSpPr>
      <xdr:spPr>
        <a:xfrm>
          <a:off x="9912834" y="1319495"/>
          <a:ext cx="1937405" cy="464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1"/>
              </a:solidFill>
              <a:latin typeface="Arial Narrow" panose="020B0606020202030204" pitchFamily="34" charset="0"/>
              <a:cs typeface="Arial" panose="020B0604020202020204" pitchFamily="34" charset="0"/>
            </a:rPr>
            <a:t>Average</a:t>
          </a:r>
          <a:r>
            <a:rPr lang="en-US" sz="2400" b="1" baseline="0">
              <a:solidFill>
                <a:schemeClr val="tx1"/>
              </a:solidFill>
              <a:latin typeface="Arial Narrow" panose="020B0606020202030204" pitchFamily="34" charset="0"/>
              <a:cs typeface="Arial" panose="020B0604020202020204" pitchFamily="34" charset="0"/>
            </a:rPr>
            <a:t> Bill</a:t>
          </a:r>
          <a:endParaRPr lang="en-US" sz="2400" b="1">
            <a:solidFill>
              <a:schemeClr val="tx1"/>
            </a:solidFill>
            <a:latin typeface="Arial Narrow" panose="020B0606020202030204" pitchFamily="34" charset="0"/>
            <a:cs typeface="Arial" panose="020B0604020202020204" pitchFamily="34" charset="0"/>
          </a:endParaRPr>
        </a:p>
      </xdr:txBody>
    </xdr:sp>
    <xdr:clientData/>
  </xdr:twoCellAnchor>
  <xdr:twoCellAnchor editAs="oneCell">
    <xdr:from>
      <xdr:col>3</xdr:col>
      <xdr:colOff>386721</xdr:colOff>
      <xdr:row>8</xdr:row>
      <xdr:rowOff>87056</xdr:rowOff>
    </xdr:from>
    <xdr:to>
      <xdr:col>4</xdr:col>
      <xdr:colOff>204880</xdr:colOff>
      <xdr:row>12</xdr:row>
      <xdr:rowOff>79014</xdr:rowOff>
    </xdr:to>
    <xdr:pic>
      <xdr:nvPicPr>
        <xdr:cNvPr id="53" name="Graphic 52" descr="Dollar with solid fill">
          <a:extLst>
            <a:ext uri="{FF2B5EF4-FFF2-40B4-BE49-F238E27FC236}">
              <a16:creationId xmlns:a16="http://schemas.microsoft.com/office/drawing/2014/main" id="{92847489-41D5-4515-8423-DD32BC16D3A5}"/>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208377" y="1325306"/>
          <a:ext cx="484909" cy="658708"/>
        </a:xfrm>
        <a:prstGeom prst="rect">
          <a:avLst/>
        </a:prstGeom>
      </xdr:spPr>
    </xdr:pic>
    <xdr:clientData/>
  </xdr:twoCellAnchor>
  <xdr:twoCellAnchor>
    <xdr:from>
      <xdr:col>4</xdr:col>
      <xdr:colOff>179211</xdr:colOff>
      <xdr:row>11</xdr:row>
      <xdr:rowOff>49482</xdr:rowOff>
    </xdr:from>
    <xdr:to>
      <xdr:col>7</xdr:col>
      <xdr:colOff>291625</xdr:colOff>
      <xdr:row>15</xdr:row>
      <xdr:rowOff>69274</xdr:rowOff>
    </xdr:to>
    <xdr:sp macro="" textlink="">
      <xdr:nvSpPr>
        <xdr:cNvPr id="54" name="TextBox 53">
          <a:extLst>
            <a:ext uri="{FF2B5EF4-FFF2-40B4-BE49-F238E27FC236}">
              <a16:creationId xmlns:a16="http://schemas.microsoft.com/office/drawing/2014/main" id="{15F638D9-54EB-4200-8DEF-56403D8B6730}"/>
            </a:ext>
          </a:extLst>
        </xdr:cNvPr>
        <xdr:cNvSpPr txBox="1"/>
      </xdr:nvSpPr>
      <xdr:spPr>
        <a:xfrm>
          <a:off x="2608086" y="1752076"/>
          <a:ext cx="1934070" cy="638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dk1"/>
              </a:solidFill>
              <a:effectLst/>
              <a:latin typeface="Arial Narrow" panose="020B0606020202030204" pitchFamily="34" charset="0"/>
              <a:ea typeface="+mn-ea"/>
              <a:cs typeface="+mn-cs"/>
            </a:rPr>
            <a:t>₹ 362,712.61</a:t>
          </a:r>
          <a:r>
            <a:rPr lang="en-US" sz="2000" b="1">
              <a:latin typeface="Arial Narrow" panose="020B0606020202030204" pitchFamily="34" charset="0"/>
            </a:rPr>
            <a:t> </a:t>
          </a:r>
          <a:endParaRPr lang="en-US" sz="2000" b="1" u="sng">
            <a:latin typeface="Arial Narrow" panose="020B0606020202030204" pitchFamily="34" charset="0"/>
          </a:endParaRPr>
        </a:p>
      </xdr:txBody>
    </xdr:sp>
    <xdr:clientData/>
  </xdr:twoCellAnchor>
  <xdr:twoCellAnchor>
    <xdr:from>
      <xdr:col>8</xdr:col>
      <xdr:colOff>396307</xdr:colOff>
      <xdr:row>11</xdr:row>
      <xdr:rowOff>29533</xdr:rowOff>
    </xdr:from>
    <xdr:to>
      <xdr:col>9</xdr:col>
      <xdr:colOff>495268</xdr:colOff>
      <xdr:row>14</xdr:row>
      <xdr:rowOff>69118</xdr:rowOff>
    </xdr:to>
    <xdr:sp macro="" textlink="">
      <xdr:nvSpPr>
        <xdr:cNvPr id="57" name="TextBox 56">
          <a:extLst>
            <a:ext uri="{FF2B5EF4-FFF2-40B4-BE49-F238E27FC236}">
              <a16:creationId xmlns:a16="http://schemas.microsoft.com/office/drawing/2014/main" id="{7DDFAA7B-C94B-46BC-9EA5-D20972C6C84F}"/>
            </a:ext>
          </a:extLst>
        </xdr:cNvPr>
        <xdr:cNvSpPr txBox="1"/>
      </xdr:nvSpPr>
      <xdr:spPr>
        <a:xfrm>
          <a:off x="5254057" y="1732127"/>
          <a:ext cx="706180" cy="503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latin typeface="Arial Narrow" panose="020B0606020202030204" pitchFamily="34" charset="0"/>
            </a:rPr>
            <a:t>31</a:t>
          </a:r>
        </a:p>
      </xdr:txBody>
    </xdr:sp>
    <xdr:clientData/>
  </xdr:twoCellAnchor>
  <xdr:twoCellAnchor>
    <xdr:from>
      <xdr:col>12</xdr:col>
      <xdr:colOff>286987</xdr:colOff>
      <xdr:row>10</xdr:row>
      <xdr:rowOff>98960</xdr:rowOff>
    </xdr:from>
    <xdr:to>
      <xdr:col>13</xdr:col>
      <xdr:colOff>573974</xdr:colOff>
      <xdr:row>14</xdr:row>
      <xdr:rowOff>29687</xdr:rowOff>
    </xdr:to>
    <xdr:sp macro="" textlink="">
      <xdr:nvSpPr>
        <xdr:cNvPr id="60" name="TextBox 59">
          <a:extLst>
            <a:ext uri="{FF2B5EF4-FFF2-40B4-BE49-F238E27FC236}">
              <a16:creationId xmlns:a16="http://schemas.microsoft.com/office/drawing/2014/main" id="{B549DF9A-8B60-47D0-80FE-FBBD06C2580A}"/>
            </a:ext>
          </a:extLst>
        </xdr:cNvPr>
        <xdr:cNvSpPr txBox="1"/>
      </xdr:nvSpPr>
      <xdr:spPr>
        <a:xfrm>
          <a:off x="7649688" y="1583376"/>
          <a:ext cx="900546" cy="524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latin typeface="Arial Narrow" panose="020B0606020202030204" pitchFamily="34" charset="0"/>
            </a:rPr>
            <a:t>950</a:t>
          </a:r>
        </a:p>
      </xdr:txBody>
    </xdr:sp>
    <xdr:clientData/>
  </xdr:twoCellAnchor>
  <xdr:twoCellAnchor>
    <xdr:from>
      <xdr:col>17</xdr:col>
      <xdr:colOff>9896</xdr:colOff>
      <xdr:row>11</xdr:row>
      <xdr:rowOff>128649</xdr:rowOff>
    </xdr:from>
    <xdr:to>
      <xdr:col>18</xdr:col>
      <xdr:colOff>316675</xdr:colOff>
      <xdr:row>14</xdr:row>
      <xdr:rowOff>19792</xdr:rowOff>
    </xdr:to>
    <xdr:sp macro="" textlink="">
      <xdr:nvSpPr>
        <xdr:cNvPr id="63" name="TextBox 62">
          <a:extLst>
            <a:ext uri="{FF2B5EF4-FFF2-40B4-BE49-F238E27FC236}">
              <a16:creationId xmlns:a16="http://schemas.microsoft.com/office/drawing/2014/main" id="{6D004793-74DB-4D4A-85C8-F1067A8F8FDC}"/>
            </a:ext>
          </a:extLst>
        </xdr:cNvPr>
        <xdr:cNvSpPr txBox="1"/>
      </xdr:nvSpPr>
      <xdr:spPr>
        <a:xfrm>
          <a:off x="10440390" y="1761506"/>
          <a:ext cx="920337" cy="336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16</xdr:col>
      <xdr:colOff>201672</xdr:colOff>
      <xdr:row>10</xdr:row>
      <xdr:rowOff>139110</xdr:rowOff>
    </xdr:from>
    <xdr:to>
      <xdr:col>19</xdr:col>
      <xdr:colOff>239661</xdr:colOff>
      <xdr:row>14</xdr:row>
      <xdr:rowOff>4122</xdr:rowOff>
    </xdr:to>
    <xdr:sp macro="" textlink="">
      <xdr:nvSpPr>
        <xdr:cNvPr id="64" name="TextBox 63">
          <a:extLst>
            <a:ext uri="{FF2B5EF4-FFF2-40B4-BE49-F238E27FC236}">
              <a16:creationId xmlns:a16="http://schemas.microsoft.com/office/drawing/2014/main" id="{D37BB700-0573-42EF-A3CB-1E35118A5AC6}"/>
            </a:ext>
          </a:extLst>
        </xdr:cNvPr>
        <xdr:cNvSpPr txBox="1"/>
      </xdr:nvSpPr>
      <xdr:spPr>
        <a:xfrm>
          <a:off x="9917172" y="1686923"/>
          <a:ext cx="1859645" cy="484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i="0" u="none" strike="noStrike">
              <a:solidFill>
                <a:schemeClr val="dk1"/>
              </a:solidFill>
              <a:effectLst/>
              <a:latin typeface="+mn-lt"/>
              <a:ea typeface="+mn-ea"/>
              <a:cs typeface="+mn-cs"/>
            </a:rPr>
            <a:t>₹ 1,663.82</a:t>
          </a:r>
          <a:r>
            <a:rPr lang="en-US" sz="2400"/>
            <a:t> </a:t>
          </a:r>
        </a:p>
      </xdr:txBody>
    </xdr:sp>
    <xdr:clientData/>
  </xdr:twoCellAnchor>
  <xdr:twoCellAnchor editAs="oneCell">
    <xdr:from>
      <xdr:col>0</xdr:col>
      <xdr:colOff>499290</xdr:colOff>
      <xdr:row>1</xdr:row>
      <xdr:rowOff>7885</xdr:rowOff>
    </xdr:from>
    <xdr:to>
      <xdr:col>2</xdr:col>
      <xdr:colOff>350539</xdr:colOff>
      <xdr:row>6</xdr:row>
      <xdr:rowOff>126887</xdr:rowOff>
    </xdr:to>
    <xdr:pic>
      <xdr:nvPicPr>
        <xdr:cNvPr id="68" name="Graphic 67" descr="Table setting with solid fill">
          <a:extLst>
            <a:ext uri="{FF2B5EF4-FFF2-40B4-BE49-F238E27FC236}">
              <a16:creationId xmlns:a16="http://schemas.microsoft.com/office/drawing/2014/main" id="{CD8E5C61-4AD8-41BF-AAC3-483D61A9BCD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499290" y="162666"/>
          <a:ext cx="1184749" cy="952439"/>
        </a:xfrm>
        <a:prstGeom prst="rect">
          <a:avLst/>
        </a:prstGeom>
        <a:effectLst>
          <a:outerShdw blurRad="50800" dist="38100" dir="2700000" algn="tl" rotWithShape="0">
            <a:prstClr val="black">
              <a:alpha val="40000"/>
            </a:prstClr>
          </a:outerShdw>
        </a:effectLst>
      </xdr:spPr>
    </xdr:pic>
    <xdr:clientData/>
  </xdr:twoCellAnchor>
  <xdr:twoCellAnchor>
    <xdr:from>
      <xdr:col>28</xdr:col>
      <xdr:colOff>301229</xdr:colOff>
      <xdr:row>36</xdr:row>
      <xdr:rowOff>142874</xdr:rowOff>
    </xdr:from>
    <xdr:to>
      <xdr:col>36</xdr:col>
      <xdr:colOff>369094</xdr:colOff>
      <xdr:row>60</xdr:row>
      <xdr:rowOff>8173</xdr:rowOff>
    </xdr:to>
    <xdr:sp macro="" textlink="">
      <xdr:nvSpPr>
        <xdr:cNvPr id="70" name="Rectangle: Rounded Corners 69">
          <a:extLst>
            <a:ext uri="{FF2B5EF4-FFF2-40B4-BE49-F238E27FC236}">
              <a16:creationId xmlns:a16="http://schemas.microsoft.com/office/drawing/2014/main" id="{A84FB950-4070-4860-959C-4D557F9605F4}"/>
            </a:ext>
          </a:extLst>
        </xdr:cNvPr>
        <xdr:cNvSpPr/>
      </xdr:nvSpPr>
      <xdr:spPr>
        <a:xfrm>
          <a:off x="17303354" y="5714999"/>
          <a:ext cx="4925615" cy="3580049"/>
        </a:xfrm>
        <a:prstGeom prst="roundRect">
          <a:avLst>
            <a:gd name="adj" fmla="val 6149"/>
          </a:avLst>
        </a:prstGeom>
        <a:gradFill flip="none" rotWithShape="1">
          <a:gsLst>
            <a:gs pos="0">
              <a:srgbClr val="DDF2FA"/>
            </a:gs>
            <a:gs pos="50000">
              <a:srgbClr val="8DD5EA"/>
            </a:gs>
            <a:gs pos="100000">
              <a:srgbClr val="4AC0E5"/>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321468</xdr:colOff>
      <xdr:row>36</xdr:row>
      <xdr:rowOff>119063</xdr:rowOff>
    </xdr:from>
    <xdr:to>
      <xdr:col>28</xdr:col>
      <xdr:colOff>202405</xdr:colOff>
      <xdr:row>60</xdr:row>
      <xdr:rowOff>23811</xdr:rowOff>
    </xdr:to>
    <xdr:sp macro="" textlink="">
      <xdr:nvSpPr>
        <xdr:cNvPr id="74" name="Rectangle: Rounded Corners 73">
          <a:extLst>
            <a:ext uri="{FF2B5EF4-FFF2-40B4-BE49-F238E27FC236}">
              <a16:creationId xmlns:a16="http://schemas.microsoft.com/office/drawing/2014/main" id="{468B3A44-A578-42A5-AE57-7731DAB0D2A5}"/>
            </a:ext>
          </a:extLst>
        </xdr:cNvPr>
        <xdr:cNvSpPr/>
      </xdr:nvSpPr>
      <xdr:spPr>
        <a:xfrm>
          <a:off x="12465843" y="5691188"/>
          <a:ext cx="4738687" cy="3619498"/>
        </a:xfrm>
        <a:prstGeom prst="roundRect">
          <a:avLst>
            <a:gd name="adj" fmla="val 6149"/>
          </a:avLst>
        </a:prstGeom>
        <a:gradFill flip="none" rotWithShape="1">
          <a:gsLst>
            <a:gs pos="0">
              <a:srgbClr val="DDF2FA"/>
            </a:gs>
            <a:gs pos="50000">
              <a:srgbClr val="8DD5EA"/>
            </a:gs>
            <a:gs pos="100000">
              <a:srgbClr val="4AC0E5"/>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369094</xdr:colOff>
      <xdr:row>15</xdr:row>
      <xdr:rowOff>71438</xdr:rowOff>
    </xdr:from>
    <xdr:to>
      <xdr:col>19</xdr:col>
      <xdr:colOff>71438</xdr:colOff>
      <xdr:row>36</xdr:row>
      <xdr:rowOff>35719</xdr:rowOff>
    </xdr:to>
    <xdr:sp macro="" textlink="">
      <xdr:nvSpPr>
        <xdr:cNvPr id="76" name="Rectangle: Rounded Corners 75">
          <a:extLst>
            <a:ext uri="{FF2B5EF4-FFF2-40B4-BE49-F238E27FC236}">
              <a16:creationId xmlns:a16="http://schemas.microsoft.com/office/drawing/2014/main" id="{DAD8EF2E-8DEF-41FB-976C-70E89DB0BC8E}"/>
            </a:ext>
          </a:extLst>
        </xdr:cNvPr>
        <xdr:cNvSpPr/>
      </xdr:nvSpPr>
      <xdr:spPr>
        <a:xfrm>
          <a:off x="7048500" y="2393157"/>
          <a:ext cx="4560094" cy="3214687"/>
        </a:xfrm>
        <a:prstGeom prst="roundRect">
          <a:avLst>
            <a:gd name="adj" fmla="val 5752"/>
          </a:avLst>
        </a:prstGeom>
        <a:gradFill flip="none" rotWithShape="1">
          <a:gsLst>
            <a:gs pos="0">
              <a:srgbClr val="DDF2FA"/>
            </a:gs>
            <a:gs pos="50000">
              <a:srgbClr val="8DD5EA"/>
            </a:gs>
            <a:gs pos="100000">
              <a:srgbClr val="4AC0E5"/>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440532</xdr:colOff>
      <xdr:row>36</xdr:row>
      <xdr:rowOff>107156</xdr:rowOff>
    </xdr:from>
    <xdr:to>
      <xdr:col>20</xdr:col>
      <xdr:colOff>226218</xdr:colOff>
      <xdr:row>59</xdr:row>
      <xdr:rowOff>142875</xdr:rowOff>
    </xdr:to>
    <xdr:sp macro="" textlink="">
      <xdr:nvSpPr>
        <xdr:cNvPr id="78" name="Rectangle: Rounded Corners 77">
          <a:extLst>
            <a:ext uri="{FF2B5EF4-FFF2-40B4-BE49-F238E27FC236}">
              <a16:creationId xmlns:a16="http://schemas.microsoft.com/office/drawing/2014/main" id="{C22FD622-898E-40BD-94FE-806A474DC505}"/>
            </a:ext>
          </a:extLst>
        </xdr:cNvPr>
        <xdr:cNvSpPr/>
      </xdr:nvSpPr>
      <xdr:spPr>
        <a:xfrm>
          <a:off x="7119938" y="5679281"/>
          <a:ext cx="5250655" cy="3595688"/>
        </a:xfrm>
        <a:prstGeom prst="roundRect">
          <a:avLst>
            <a:gd name="adj" fmla="val 5752"/>
          </a:avLst>
        </a:prstGeom>
        <a:gradFill flip="none" rotWithShape="1">
          <a:gsLst>
            <a:gs pos="0">
              <a:srgbClr val="DDF2FA"/>
            </a:gs>
            <a:gs pos="50000">
              <a:srgbClr val="8DD5EA"/>
            </a:gs>
            <a:gs pos="100000">
              <a:srgbClr val="4AC0E5"/>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488157</xdr:colOff>
      <xdr:row>15</xdr:row>
      <xdr:rowOff>130967</xdr:rowOff>
    </xdr:from>
    <xdr:to>
      <xdr:col>11</xdr:col>
      <xdr:colOff>142875</xdr:colOff>
      <xdr:row>35</xdr:row>
      <xdr:rowOff>107156</xdr:rowOff>
    </xdr:to>
    <xdr:graphicFrame macro="">
      <xdr:nvGraphicFramePr>
        <xdr:cNvPr id="48" name="Chart 47">
          <a:extLst>
            <a:ext uri="{FF2B5EF4-FFF2-40B4-BE49-F238E27FC236}">
              <a16:creationId xmlns:a16="http://schemas.microsoft.com/office/drawing/2014/main" id="{EAA4CD08-79D6-4A79-8E9B-F5E98EAA2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27</xdr:col>
      <xdr:colOff>273844</xdr:colOff>
      <xdr:row>8</xdr:row>
      <xdr:rowOff>119063</xdr:rowOff>
    </xdr:from>
    <xdr:to>
      <xdr:col>36</xdr:col>
      <xdr:colOff>190500</xdr:colOff>
      <xdr:row>36</xdr:row>
      <xdr:rowOff>0</xdr:rowOff>
    </xdr:to>
    <xdr:graphicFrame macro="">
      <xdr:nvGraphicFramePr>
        <xdr:cNvPr id="50" name="Chart 49">
          <a:extLst>
            <a:ext uri="{FF2B5EF4-FFF2-40B4-BE49-F238E27FC236}">
              <a16:creationId xmlns:a16="http://schemas.microsoft.com/office/drawing/2014/main" id="{C38D05BE-A8E2-4E9F-BECD-395FFCDCB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440532</xdr:colOff>
      <xdr:row>16</xdr:row>
      <xdr:rowOff>23813</xdr:rowOff>
    </xdr:from>
    <xdr:to>
      <xdr:col>18</xdr:col>
      <xdr:colOff>595311</xdr:colOff>
      <xdr:row>35</xdr:row>
      <xdr:rowOff>119061</xdr:rowOff>
    </xdr:to>
    <xdr:graphicFrame macro="">
      <xdr:nvGraphicFramePr>
        <xdr:cNvPr id="52" name="Chart 51">
          <a:extLst>
            <a:ext uri="{FF2B5EF4-FFF2-40B4-BE49-F238E27FC236}">
              <a16:creationId xmlns:a16="http://schemas.microsoft.com/office/drawing/2014/main" id="{297F76EF-ED54-46AE-A58C-44F0063D76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537621</xdr:colOff>
      <xdr:row>37</xdr:row>
      <xdr:rowOff>59532</xdr:rowOff>
    </xdr:from>
    <xdr:to>
      <xdr:col>11</xdr:col>
      <xdr:colOff>226219</xdr:colOff>
      <xdr:row>59</xdr:row>
      <xdr:rowOff>130969</xdr:rowOff>
    </xdr:to>
    <xdr:graphicFrame macro="">
      <xdr:nvGraphicFramePr>
        <xdr:cNvPr id="56" name="Chart 55">
          <a:extLst>
            <a:ext uri="{FF2B5EF4-FFF2-40B4-BE49-F238E27FC236}">
              <a16:creationId xmlns:a16="http://schemas.microsoft.com/office/drawing/2014/main" id="{3D253BF8-923B-416F-AD5B-CB6E24AC4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20</xdr:col>
      <xdr:colOff>392906</xdr:colOff>
      <xdr:row>37</xdr:row>
      <xdr:rowOff>59532</xdr:rowOff>
    </xdr:from>
    <xdr:to>
      <xdr:col>28</xdr:col>
      <xdr:colOff>130969</xdr:colOff>
      <xdr:row>59</xdr:row>
      <xdr:rowOff>130969</xdr:rowOff>
    </xdr:to>
    <xdr:graphicFrame macro="">
      <xdr:nvGraphicFramePr>
        <xdr:cNvPr id="59" name="Chart 58">
          <a:extLst>
            <a:ext uri="{FF2B5EF4-FFF2-40B4-BE49-F238E27FC236}">
              <a16:creationId xmlns:a16="http://schemas.microsoft.com/office/drawing/2014/main" id="{FCCC49C1-2338-488B-9A78-2DDD71D1A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19</xdr:col>
      <xdr:colOff>107157</xdr:colOff>
      <xdr:row>7</xdr:row>
      <xdr:rowOff>130969</xdr:rowOff>
    </xdr:from>
    <xdr:to>
      <xdr:col>27</xdr:col>
      <xdr:colOff>154783</xdr:colOff>
      <xdr:row>35</xdr:row>
      <xdr:rowOff>107155</xdr:rowOff>
    </xdr:to>
    <xdr:graphicFrame macro="">
      <xdr:nvGraphicFramePr>
        <xdr:cNvPr id="62" name="Chart 61">
          <a:extLst>
            <a:ext uri="{FF2B5EF4-FFF2-40B4-BE49-F238E27FC236}">
              <a16:creationId xmlns:a16="http://schemas.microsoft.com/office/drawing/2014/main" id="{B963BFD5-FB43-4814-BF8C-CDB2F480D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11</xdr:col>
      <xdr:colOff>440533</xdr:colOff>
      <xdr:row>37</xdr:row>
      <xdr:rowOff>0</xdr:rowOff>
    </xdr:from>
    <xdr:to>
      <xdr:col>20</xdr:col>
      <xdr:colOff>166688</xdr:colOff>
      <xdr:row>59</xdr:row>
      <xdr:rowOff>83343</xdr:rowOff>
    </xdr:to>
    <xdr:graphicFrame macro="">
      <xdr:nvGraphicFramePr>
        <xdr:cNvPr id="66" name="Chart 65">
          <a:extLst>
            <a:ext uri="{FF2B5EF4-FFF2-40B4-BE49-F238E27FC236}">
              <a16:creationId xmlns:a16="http://schemas.microsoft.com/office/drawing/2014/main" id="{4EE97C0F-25C9-41C0-A9B3-94E0730EF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28</xdr:col>
      <xdr:colOff>297657</xdr:colOff>
      <xdr:row>37</xdr:row>
      <xdr:rowOff>47627</xdr:rowOff>
    </xdr:from>
    <xdr:to>
      <xdr:col>36</xdr:col>
      <xdr:colOff>285750</xdr:colOff>
      <xdr:row>59</xdr:row>
      <xdr:rowOff>107157</xdr:rowOff>
    </xdr:to>
    <xdr:graphicFrame macro="">
      <xdr:nvGraphicFramePr>
        <xdr:cNvPr id="69" name="Chart 68">
          <a:extLst>
            <a:ext uri="{FF2B5EF4-FFF2-40B4-BE49-F238E27FC236}">
              <a16:creationId xmlns:a16="http://schemas.microsoft.com/office/drawing/2014/main" id="{310F214E-CE76-4557-8D7F-9106368E5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19</xdr:col>
      <xdr:colOff>142876</xdr:colOff>
      <xdr:row>1</xdr:row>
      <xdr:rowOff>43706</xdr:rowOff>
    </xdr:from>
    <xdr:to>
      <xdr:col>23</xdr:col>
      <xdr:colOff>401956</xdr:colOff>
      <xdr:row>6</xdr:row>
      <xdr:rowOff>71438</xdr:rowOff>
    </xdr:to>
    <mc:AlternateContent xmlns:mc="http://schemas.openxmlformats.org/markup-compatibility/2006" xmlns:a14="http://schemas.microsoft.com/office/drawing/2010/main">
      <mc:Choice Requires="a14">
        <xdr:graphicFrame macro="">
          <xdr:nvGraphicFramePr>
            <xdr:cNvPr id="73" name="Payment_Mode 1">
              <a:extLst>
                <a:ext uri="{FF2B5EF4-FFF2-40B4-BE49-F238E27FC236}">
                  <a16:creationId xmlns:a16="http://schemas.microsoft.com/office/drawing/2014/main" id="{4E211254-2F16-40AC-858C-B8E38235988A}"/>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12873531" y="214499"/>
              <a:ext cx="2939218" cy="8816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97.937123379626" missingItemsLimit="0" createdVersion="7" refreshedVersion="7" minRefreshableVersion="3" recordCount="220" xr:uid="{91E8B8D6-054C-4D83-8DA0-232D472C83E1}">
  <cacheSource type="worksheet">
    <worksheetSource name="Raw_Data"/>
  </cacheSource>
  <cacheFields count="18">
    <cacheField name="Order_ID" numFmtId="0">
      <sharedItems/>
    </cacheField>
    <cacheField name="Order_Date" numFmtId="165">
      <sharedItems containsSemiMixedTypes="0" containsNonDate="0" containsDate="1" containsString="0" minDate="2026-08-01T00:00:00" maxDate="2026-09-01T00:00:00" count="31">
        <d v="2026-08-21T00:00:00"/>
        <d v="2026-08-07T00:00:00"/>
        <d v="2026-08-26T00:00:00"/>
        <d v="2026-08-02T00:00:00"/>
        <d v="2026-08-25T00:00:00"/>
        <d v="2026-08-23T00:00:00"/>
        <d v="2026-08-08T00:00:00"/>
        <d v="2026-08-29T00:00:00"/>
        <d v="2026-08-17T00:00:00"/>
        <d v="2026-08-28T00:00:00"/>
        <d v="2026-08-09T00:00:00"/>
        <d v="2026-08-31T00:00:00"/>
        <d v="2026-08-03T00:00:00"/>
        <d v="2026-08-30T00:00:00"/>
        <d v="2026-08-14T00:00:00"/>
        <d v="2026-08-18T00:00:00"/>
        <d v="2026-08-19T00:00:00"/>
        <d v="2026-08-05T00:00:00"/>
        <d v="2026-08-24T00:00:00"/>
        <d v="2026-08-13T00:00:00"/>
        <d v="2026-08-11T00:00:00"/>
        <d v="2026-08-16T00:00:00"/>
        <d v="2026-08-01T00:00:00"/>
        <d v="2026-08-15T00:00:00"/>
        <d v="2026-08-20T00:00:00"/>
        <d v="2026-08-04T00:00:00"/>
        <d v="2026-08-10T00:00:00"/>
        <d v="2026-08-22T00:00:00"/>
        <d v="2026-08-06T00:00:00"/>
        <d v="2026-08-27T00:00:00"/>
        <d v="2026-08-12T00:00:00"/>
      </sharedItems>
    </cacheField>
    <cacheField name="Order_Time" numFmtId="164">
      <sharedItems containsSemiMixedTypes="0" containsNonDate="0" containsDate="1" containsString="0" minDate="1899-12-30T11:00:00" maxDate="1899-12-30T22:55:00"/>
    </cacheField>
    <cacheField name="Customer_Count" numFmtId="0">
      <sharedItems containsString="0" containsBlank="1" containsNumber="1" containsInteger="1" minValue="1" maxValue="8"/>
    </cacheField>
    <cacheField name="Seating_Time" numFmtId="22">
      <sharedItems containsSemiMixedTypes="0" containsNonDate="0" containsDate="1" containsString="0" minDate="2026-08-01T11:35:00" maxDate="2026-08-31T22:20:00"/>
    </cacheField>
    <cacheField name="Order_Placed_Time" numFmtId="22">
      <sharedItems containsNonDate="0" containsDate="1" containsString="0" containsBlank="1" minDate="2026-08-01T11:47:00" maxDate="2026-08-31T22:28:00"/>
    </cacheField>
    <cacheField name="Food_Served_Time" numFmtId="22">
      <sharedItems containsNonDate="0" containsDate="1" containsString="0" containsBlank="1" minDate="2026-08-01T12:12:00" maxDate="2026-08-31T23:00:00"/>
    </cacheField>
    <cacheField name="Bill_Time" numFmtId="22">
      <sharedItems containsNonDate="0" containsDate="1" containsString="0" containsBlank="1" minDate="2026-08-01T13:12:00" maxDate="2026-08-31T23:55:00"/>
    </cacheField>
    <cacheField name="Table_Vacated_Time" numFmtId="22">
      <sharedItems containsNonDate="0" containsDate="1" containsString="0" containsBlank="1" minDate="2026-08-01T13:23:00" maxDate="2026-09-01T00:01:00"/>
    </cacheField>
    <cacheField name=" Table Turnover Time" numFmtId="166">
      <sharedItems containsDate="1" containsMixedTypes="1" minDate="1899-12-30T00:46:00" maxDate="1899-12-30T02:08:00"/>
    </cacheField>
    <cacheField name="Total_Bill" numFmtId="0">
      <sharedItems containsString="0" containsBlank="1" containsNumber="1" minValue="490" maxValue="4229"/>
    </cacheField>
    <cacheField name="Payment_Mode" numFmtId="0">
      <sharedItems count="4">
        <s v="Cash"/>
        <s v="Upi"/>
        <s v="Card"/>
        <s v="Unknown"/>
      </sharedItems>
    </cacheField>
    <cacheField name="Server" numFmtId="0">
      <sharedItems/>
    </cacheField>
    <cacheField name="Table_Area" numFmtId="0">
      <sharedItems count="5">
        <s v="Family Section"/>
        <s v="Ac Hall"/>
        <s v="Indoor"/>
        <s v="Outdoor"/>
        <s v="Unknown"/>
      </sharedItems>
    </cacheField>
    <cacheField name="Customer_Rating" numFmtId="0">
      <sharedItems containsBlank="1"/>
    </cacheField>
    <cacheField name="Meal_Type" numFmtId="0">
      <sharedItems count="3">
        <s v="Lunch"/>
        <s v="Dinner"/>
        <s v="Brunch"/>
      </sharedItems>
    </cacheField>
    <cacheField name="Customer_Name" numFmtId="0">
      <sharedItems/>
    </cacheField>
    <cacheField name="Table_No" numFmtId="0">
      <sharedItems containsSemiMixedTypes="0" containsString="0" containsNumber="1" containsInteger="1" minValue="1" maxValue="20" count="20">
        <n v="8"/>
        <n v="18"/>
        <n v="9"/>
        <n v="13"/>
        <n v="4"/>
        <n v="20"/>
        <n v="2"/>
        <n v="5"/>
        <n v="15"/>
        <n v="3"/>
        <n v="7"/>
        <n v="14"/>
        <n v="11"/>
        <n v="6"/>
        <n v="12"/>
        <n v="10"/>
        <n v="17"/>
        <n v="19"/>
        <n v="16"/>
        <n v="1"/>
      </sharedItems>
    </cacheField>
  </cacheFields>
  <extLst>
    <ext xmlns:x14="http://schemas.microsoft.com/office/spreadsheetml/2009/9/main" uri="{725AE2AE-9491-48be-B2B4-4EB974FC3084}">
      <x14:pivotCacheDefinition pivotCacheId="1126384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s v="ORD-1001"/>
    <x v="0"/>
    <d v="1899-12-30T12:55:00"/>
    <n v="4"/>
    <d v="2026-08-21T12:55:00"/>
    <d v="2026-08-21T13:03:00"/>
    <d v="2026-08-21T13:19:00"/>
    <d v="2026-08-21T13:45:00"/>
    <d v="2026-08-21T13:57:00"/>
    <d v="1899-12-30T01:02:00"/>
    <n v="1903.19"/>
    <x v="0"/>
    <s v="Neha"/>
    <x v="0"/>
    <s v="1"/>
    <x v="0"/>
    <s v="Sneha"/>
    <x v="0"/>
  </r>
  <r>
    <s v="ORD-1002"/>
    <x v="1"/>
    <d v="1899-12-30T13:45:00"/>
    <n v="1"/>
    <d v="2026-08-07T13:45:00"/>
    <d v="2026-08-07T13:53:00"/>
    <d v="2026-08-07T14:27:00"/>
    <d v="2026-08-07T15:28:00"/>
    <d v="2026-08-07T15:41:00"/>
    <d v="1899-12-30T01:56:00"/>
    <n v="1193.95"/>
    <x v="0"/>
    <s v="Pooja"/>
    <x v="1"/>
    <m/>
    <x v="0"/>
    <s v="Sagar"/>
    <x v="1"/>
  </r>
  <r>
    <s v="ORD-1003"/>
    <x v="2"/>
    <d v="1899-12-30T13:30:00"/>
    <n v="4"/>
    <d v="2026-08-26T13:30:00"/>
    <d v="2026-08-26T13:37:00"/>
    <d v="2026-08-26T13:55:00"/>
    <d v="2026-08-26T14:36:00"/>
    <d v="2026-08-26T14:39:00"/>
    <d v="1899-12-30T01:09:00"/>
    <n v="1986.23"/>
    <x v="1"/>
    <s v="Sneha"/>
    <x v="1"/>
    <s v="5"/>
    <x v="1"/>
    <s v="Sagar"/>
    <x v="2"/>
  </r>
  <r>
    <s v="ORD-1004"/>
    <x v="3"/>
    <d v="1899-12-30T20:40:00"/>
    <n v="2"/>
    <d v="2026-08-02T20:40:00"/>
    <d v="2026-08-02T20:46:00"/>
    <d v="2026-08-02T21:15:00"/>
    <d v="2026-08-02T21:53:00"/>
    <d v="2026-08-02T22:08:00"/>
    <d v="1899-12-30T01:28:00"/>
    <n v="2227.67"/>
    <x v="2"/>
    <s v="Priya"/>
    <x v="2"/>
    <s v="1"/>
    <x v="2"/>
    <s v="Priya"/>
    <x v="3"/>
  </r>
  <r>
    <s v="ORD-1005"/>
    <x v="4"/>
    <d v="1899-12-30T14:05:00"/>
    <n v="3"/>
    <d v="2026-08-25T14:05:00"/>
    <d v="2026-08-25T14:16:00"/>
    <d v="2026-08-25T14:36:00"/>
    <d v="2026-08-25T15:25:00"/>
    <d v="2026-08-25T15:37:00"/>
    <d v="1899-12-30T01:32:00"/>
    <n v="1381.22"/>
    <x v="0"/>
    <s v="Sneha"/>
    <x v="1"/>
    <s v="2"/>
    <x v="2"/>
    <s v="Rohit"/>
    <x v="4"/>
  </r>
  <r>
    <s v="ORD-1006"/>
    <x v="5"/>
    <d v="1899-12-30T22:50:00"/>
    <n v="2"/>
    <d v="2026-08-23T22:50:00"/>
    <d v="2026-08-23T23:05:00"/>
    <d v="2026-08-23T23:22:00"/>
    <d v="2026-08-24T00:16:00"/>
    <d v="2026-08-24T00:29:00"/>
    <d v="1899-12-30T01:39:00"/>
    <n v="1261.22"/>
    <x v="1"/>
    <s v="Vikram"/>
    <x v="1"/>
    <m/>
    <x v="2"/>
    <s v="Akshay"/>
    <x v="5"/>
  </r>
  <r>
    <s v="ORD-1007"/>
    <x v="6"/>
    <d v="1899-12-30T20:00:00"/>
    <n v="3"/>
    <d v="2026-08-08T20:00:00"/>
    <d v="2026-08-08T20:17:00"/>
    <d v="2026-08-08T20:39:00"/>
    <d v="2026-08-08T21:24:00"/>
    <d v="2026-08-08T21:30:00"/>
    <d v="1899-12-30T01:30:00"/>
    <n v="2140.71"/>
    <x v="0"/>
    <s v="Sneha"/>
    <x v="3"/>
    <m/>
    <x v="1"/>
    <s v="Kunal"/>
    <x v="6"/>
  </r>
  <r>
    <s v="ORD-1008"/>
    <x v="7"/>
    <d v="1899-12-30T21:35:00"/>
    <n v="2"/>
    <d v="2026-08-29T21:35:00"/>
    <d v="2026-08-29T21:42:00"/>
    <d v="2026-08-29T22:01:00"/>
    <d v="2026-08-29T22:56:00"/>
    <d v="2026-08-29T23:06:00"/>
    <d v="1899-12-30T01:31:00"/>
    <n v="1812.09"/>
    <x v="0"/>
    <s v="Vikram"/>
    <x v="0"/>
    <s v="3"/>
    <x v="0"/>
    <s v="Amit"/>
    <x v="2"/>
  </r>
  <r>
    <s v="ORD-1009"/>
    <x v="8"/>
    <d v="1899-12-30T19:00:00"/>
    <n v="2"/>
    <d v="2026-08-17T19:00:00"/>
    <d v="2026-08-17T19:15:00"/>
    <d v="2026-08-17T19:32:00"/>
    <d v="2026-08-17T20:35:00"/>
    <d v="2026-08-17T20:43:00"/>
    <d v="1899-12-30T01:43:00"/>
    <n v="1131.79"/>
    <x v="1"/>
    <s v="Amit"/>
    <x v="0"/>
    <s v="5"/>
    <x v="1"/>
    <s v="Akshay"/>
    <x v="7"/>
  </r>
  <r>
    <s v="ORD-1010"/>
    <x v="9"/>
    <d v="1899-12-30T22:50:00"/>
    <n v="2"/>
    <d v="2026-08-28T22:50:00"/>
    <d v="2026-08-28T23:07:00"/>
    <d v="2026-08-28T23:27:00"/>
    <d v="2026-08-29T00:28:00"/>
    <d v="2026-08-29T00:35:00"/>
    <d v="1899-12-30T01:45:00"/>
    <n v="1688.41"/>
    <x v="1"/>
    <s v="Rohan"/>
    <x v="0"/>
    <s v="1"/>
    <x v="2"/>
    <s v="Megha"/>
    <x v="1"/>
  </r>
  <r>
    <s v="ORD-1011"/>
    <x v="10"/>
    <d v="1899-12-30T22:10:00"/>
    <n v="7"/>
    <d v="2026-08-09T22:10:00"/>
    <d v="2026-08-09T22:28:00"/>
    <d v="2026-08-09T23:00:00"/>
    <d v="2026-08-09T23:39:00"/>
    <d v="2026-08-09T23:54:00"/>
    <d v="1899-12-30T01:44:00"/>
    <n v="1735.12"/>
    <x v="0"/>
    <s v="Priya"/>
    <x v="3"/>
    <s v="3"/>
    <x v="0"/>
    <s v="Akshay"/>
    <x v="4"/>
  </r>
  <r>
    <s v="ORD-1012"/>
    <x v="11"/>
    <d v="1899-12-30T21:40:00"/>
    <n v="1"/>
    <d v="2026-08-31T21:40:00"/>
    <d v="2026-08-31T21:50:00"/>
    <d v="2026-08-31T22:17:00"/>
    <d v="2026-08-31T22:38:00"/>
    <d v="2026-08-31T22:41:00"/>
    <d v="1899-12-30T01:01:00"/>
    <n v="1013.85"/>
    <x v="2"/>
    <s v="Priya"/>
    <x v="2"/>
    <s v="2"/>
    <x v="2"/>
    <s v="Sneha"/>
    <x v="5"/>
  </r>
  <r>
    <s v="ORD-1013"/>
    <x v="12"/>
    <d v="1899-12-30T20:05:00"/>
    <n v="7"/>
    <d v="2026-08-03T20:05:00"/>
    <m/>
    <m/>
    <d v="2026-08-03T21:35:00"/>
    <d v="2026-08-03T21:45:00"/>
    <d v="1899-12-30T01:40:00"/>
    <n v="2123.08"/>
    <x v="0"/>
    <s v="Vikram"/>
    <x v="3"/>
    <s v="5"/>
    <x v="2"/>
    <s v="Megha"/>
    <x v="7"/>
  </r>
  <r>
    <s v="ORD-1014"/>
    <x v="1"/>
    <d v="1899-12-30T20:30:00"/>
    <n v="4"/>
    <d v="2026-08-07T20:30:00"/>
    <d v="2026-08-07T20:43:00"/>
    <d v="2026-08-07T21:09:00"/>
    <d v="2026-08-07T21:36:00"/>
    <d v="2026-08-07T21:41:00"/>
    <d v="1899-12-30T01:11:00"/>
    <n v="730"/>
    <x v="2"/>
    <s v="Amit"/>
    <x v="3"/>
    <s v="5"/>
    <x v="0"/>
    <s v="Rahul"/>
    <x v="8"/>
  </r>
  <r>
    <s v="ORD-1015"/>
    <x v="12"/>
    <d v="1899-12-30T20:00:00"/>
    <n v="3"/>
    <d v="2026-08-03T20:00:00"/>
    <d v="2026-08-03T20:05:00"/>
    <d v="2026-08-03T20:27:00"/>
    <d v="2026-08-03T20:51:00"/>
    <d v="2026-08-03T21:01:00"/>
    <d v="1899-12-30T01:01:00"/>
    <n v="610"/>
    <x v="2"/>
    <s v="Pooja"/>
    <x v="3"/>
    <s v="5"/>
    <x v="0"/>
    <s v="Megha"/>
    <x v="9"/>
  </r>
  <r>
    <s v="ORD-1016"/>
    <x v="13"/>
    <d v="1899-12-30T21:45:00"/>
    <n v="6"/>
    <d v="2026-08-30T21:45:00"/>
    <d v="2026-08-30T22:02:00"/>
    <d v="2026-08-30T22:29:00"/>
    <d v="2026-08-30T23:15:00"/>
    <d v="2026-08-30T23:20:00"/>
    <d v="1899-12-30T01:35:00"/>
    <n v="1560.74"/>
    <x v="2"/>
    <s v="Vikram"/>
    <x v="1"/>
    <s v="4"/>
    <x v="1"/>
    <s v="Pooja"/>
    <x v="0"/>
  </r>
  <r>
    <s v="ORD-1017"/>
    <x v="9"/>
    <d v="1899-12-30T20:50:00"/>
    <n v="2"/>
    <d v="2026-08-28T20:50:00"/>
    <d v="2026-08-28T21:01:00"/>
    <d v="2026-08-28T21:36:00"/>
    <d v="2026-08-28T22:17:00"/>
    <d v="2026-08-28T22:31:00"/>
    <d v="1899-12-30T01:41:00"/>
    <n v="832.94"/>
    <x v="0"/>
    <s v="Priya"/>
    <x v="3"/>
    <s v="5"/>
    <x v="1"/>
    <s v="Amit"/>
    <x v="6"/>
  </r>
  <r>
    <s v="ORD-1018"/>
    <x v="14"/>
    <d v="1899-12-30T13:35:00"/>
    <n v="3"/>
    <d v="2026-08-14T13:35:00"/>
    <d v="2026-08-14T13:47:00"/>
    <d v="2026-08-14T14:24:00"/>
    <d v="2026-08-14T15:19:00"/>
    <d v="2026-08-14T15:22:00"/>
    <d v="1899-12-30T01:47:00"/>
    <n v="1514.56"/>
    <x v="0"/>
    <s v="Amit"/>
    <x v="2"/>
    <m/>
    <x v="0"/>
    <s v="Amit"/>
    <x v="9"/>
  </r>
  <r>
    <s v="ORD-1019"/>
    <x v="14"/>
    <d v="1899-12-30T19:15:00"/>
    <n v="5"/>
    <d v="2026-08-14T19:15:00"/>
    <d v="2026-08-14T19:22:00"/>
    <d v="2026-08-14T19:46:00"/>
    <d v="2026-08-14T20:06:00"/>
    <d v="2026-08-14T20:14:00"/>
    <d v="1899-12-30T00:59:00"/>
    <n v="1250.5899999999999"/>
    <x v="1"/>
    <s v="Sahil"/>
    <x v="0"/>
    <m/>
    <x v="2"/>
    <s v="Sagar"/>
    <x v="6"/>
  </r>
  <r>
    <s v="ORD-1020"/>
    <x v="15"/>
    <d v="1899-12-30T20:35:00"/>
    <n v="2"/>
    <d v="2026-08-18T20:35:00"/>
    <d v="2026-08-18T20:44:00"/>
    <d v="2026-08-18T21:02:00"/>
    <d v="2026-08-18T21:25:00"/>
    <d v="2026-08-18T21:36:00"/>
    <d v="1899-12-30T01:01:00"/>
    <n v="613.23"/>
    <x v="1"/>
    <s v="Sneha"/>
    <x v="2"/>
    <s v="1"/>
    <x v="2"/>
    <s v="Pooja"/>
    <x v="10"/>
  </r>
  <r>
    <s v="ORD-1021"/>
    <x v="8"/>
    <d v="1899-12-30T21:40:00"/>
    <n v="2"/>
    <d v="2026-08-17T21:40:00"/>
    <d v="2026-08-17T21:53:00"/>
    <d v="2026-08-17T22:07:00"/>
    <d v="2026-08-17T22:38:00"/>
    <d v="2026-08-17T22:41:00"/>
    <d v="1899-12-30T01:01:00"/>
    <n v="2196.11"/>
    <x v="2"/>
    <s v="Priya"/>
    <x v="0"/>
    <s v="1"/>
    <x v="2"/>
    <s v="Priya"/>
    <x v="6"/>
  </r>
  <r>
    <s v="ORD-1022"/>
    <x v="16"/>
    <d v="1899-12-30T20:45:00"/>
    <n v="2"/>
    <d v="2026-08-19T20:45:00"/>
    <d v="2026-08-19T21:00:00"/>
    <d v="2026-08-19T21:30:00"/>
    <d v="2026-08-19T22:26:00"/>
    <d v="2026-08-19T22:36:00"/>
    <d v="1899-12-30T01:51:00"/>
    <n v="1265.82"/>
    <x v="2"/>
    <s v="Priya"/>
    <x v="1"/>
    <s v="2"/>
    <x v="1"/>
    <s v="Kunal"/>
    <x v="11"/>
  </r>
  <r>
    <s v="ORD-1023"/>
    <x v="17"/>
    <d v="1899-12-30T20:20:00"/>
    <m/>
    <d v="2026-08-05T20:20:00"/>
    <d v="2026-08-05T20:37:00"/>
    <d v="2026-08-05T20:51:00"/>
    <d v="2026-08-05T21:11:00"/>
    <d v="2026-08-05T21:20:00"/>
    <d v="1899-12-30T01:00:00"/>
    <n v="1907.14"/>
    <x v="0"/>
    <s v="Neha"/>
    <x v="2"/>
    <s v="5"/>
    <x v="0"/>
    <s v="Akshay"/>
    <x v="12"/>
  </r>
  <r>
    <s v="ORD-1024"/>
    <x v="10"/>
    <d v="1899-12-30T12:25:00"/>
    <n v="2"/>
    <d v="2026-08-09T12:25:00"/>
    <d v="2026-08-09T12:35:00"/>
    <d v="2026-08-09T12:56:00"/>
    <d v="2026-08-09T13:26:00"/>
    <d v="2026-08-09T13:35:00"/>
    <d v="1899-12-30T01:10:00"/>
    <n v="606.39"/>
    <x v="2"/>
    <s v="Sahil"/>
    <x v="2"/>
    <m/>
    <x v="2"/>
    <s v="Rohit"/>
    <x v="0"/>
  </r>
  <r>
    <s v="ORD-1025"/>
    <x v="13"/>
    <d v="1899-12-30T20:10:00"/>
    <n v="4"/>
    <d v="2026-08-30T20:10:00"/>
    <d v="2026-08-30T20:16:00"/>
    <d v="2026-08-30T20:51:00"/>
    <d v="2026-08-30T21:46:00"/>
    <d v="2026-08-30T21:50:00"/>
    <d v="1899-12-30T01:40:00"/>
    <n v="1330.59"/>
    <x v="0"/>
    <s v="Priya"/>
    <x v="1"/>
    <s v="2"/>
    <x v="2"/>
    <s v="Vivek"/>
    <x v="4"/>
  </r>
  <r>
    <s v="ORD-1026"/>
    <x v="9"/>
    <d v="1899-12-30T13:35:00"/>
    <n v="4"/>
    <d v="2026-08-28T13:35:00"/>
    <d v="2026-08-28T13:41:00"/>
    <d v="2026-08-28T14:13:00"/>
    <d v="2026-08-28T15:00:00"/>
    <d v="2026-08-28T15:15:00"/>
    <d v="1899-12-30T01:40:00"/>
    <n v="1691.01"/>
    <x v="1"/>
    <s v="Sneha"/>
    <x v="3"/>
    <m/>
    <x v="1"/>
    <s v="Amit"/>
    <x v="6"/>
  </r>
  <r>
    <s v="ORD-1027"/>
    <x v="18"/>
    <d v="1899-12-30T19:55:00"/>
    <n v="5"/>
    <d v="2026-08-24T19:55:00"/>
    <d v="2026-08-24T20:00:00"/>
    <d v="2026-08-24T20:15:00"/>
    <d v="2026-08-24T20:39:00"/>
    <d v="2026-08-24T20:52:00"/>
    <d v="1899-12-30T00:57:00"/>
    <n v="1116.95"/>
    <x v="0"/>
    <s v="Amit"/>
    <x v="1"/>
    <s v="5"/>
    <x v="2"/>
    <s v="Amit"/>
    <x v="1"/>
  </r>
  <r>
    <s v="ORD-1028"/>
    <x v="14"/>
    <d v="1899-12-30T12:20:00"/>
    <n v="4"/>
    <d v="2026-08-14T12:20:00"/>
    <d v="2026-08-14T12:30:00"/>
    <d v="2026-08-14T12:48:00"/>
    <d v="2026-08-14T13:51:00"/>
    <d v="2026-08-14T13:56:00"/>
    <d v="1899-12-30T01:36:00"/>
    <n v="1836.63"/>
    <x v="2"/>
    <s v="Vikram"/>
    <x v="3"/>
    <s v="2"/>
    <x v="0"/>
    <s v="Sagar"/>
    <x v="6"/>
  </r>
  <r>
    <s v="ORD-1029"/>
    <x v="2"/>
    <d v="1899-12-30T13:30:00"/>
    <n v="1"/>
    <d v="2026-08-26T13:30:00"/>
    <d v="2026-08-26T13:46:00"/>
    <d v="2026-08-26T14:08:00"/>
    <d v="2026-08-26T14:54:00"/>
    <d v="2026-08-26T15:08:00"/>
    <d v="1899-12-30T01:38:00"/>
    <n v="939.65"/>
    <x v="2"/>
    <s v="Priya"/>
    <x v="1"/>
    <s v="2"/>
    <x v="2"/>
    <s v="Sneha"/>
    <x v="13"/>
  </r>
  <r>
    <s v="ORD-1030"/>
    <x v="19"/>
    <d v="1899-12-30T21:35:00"/>
    <n v="3"/>
    <d v="2026-08-13T21:35:00"/>
    <d v="2026-08-13T21:53:00"/>
    <d v="2026-08-13T22:19:00"/>
    <d v="2026-08-13T23:01:00"/>
    <d v="2026-08-13T23:07:00"/>
    <d v="1899-12-30T01:32:00"/>
    <n v="1349.57"/>
    <x v="0"/>
    <s v="Neha"/>
    <x v="2"/>
    <m/>
    <x v="0"/>
    <s v="Kunal"/>
    <x v="10"/>
  </r>
  <r>
    <s v="ORD-1031"/>
    <x v="20"/>
    <d v="1899-12-30T14:05:00"/>
    <n v="4"/>
    <d v="2026-08-11T14:05:00"/>
    <d v="2026-08-11T14:20:00"/>
    <d v="2026-08-11T14:48:00"/>
    <d v="2026-08-11T15:33:00"/>
    <d v="2026-08-11T15:45:00"/>
    <d v="1899-12-30T01:40:00"/>
    <n v="1299.06"/>
    <x v="0"/>
    <s v="Sneha"/>
    <x v="2"/>
    <s v="1"/>
    <x v="1"/>
    <s v="Amit"/>
    <x v="14"/>
  </r>
  <r>
    <s v="ORD-1032"/>
    <x v="16"/>
    <d v="1899-12-30T22:20:00"/>
    <n v="1"/>
    <d v="2026-08-19T22:20:00"/>
    <d v="2026-08-19T22:34:00"/>
    <d v="2026-08-19T22:59:00"/>
    <m/>
    <m/>
    <s v=" "/>
    <n v="2288.75"/>
    <x v="1"/>
    <s v="Neha"/>
    <x v="0"/>
    <s v="5"/>
    <x v="0"/>
    <s v="Rohit"/>
    <x v="4"/>
  </r>
  <r>
    <s v="ORD-1033"/>
    <x v="3"/>
    <d v="1899-12-30T20:00:00"/>
    <n v="7"/>
    <d v="2026-08-02T20:00:00"/>
    <d v="2026-08-02T20:15:00"/>
    <d v="2026-08-02T20:50:00"/>
    <d v="2026-08-02T21:52:00"/>
    <d v="2026-08-02T21:57:00"/>
    <d v="1899-12-30T01:57:00"/>
    <n v="1982.58"/>
    <x v="1"/>
    <s v="Sneha"/>
    <x v="1"/>
    <m/>
    <x v="0"/>
    <s v="Megha"/>
    <x v="1"/>
  </r>
  <r>
    <s v="ORD-1034"/>
    <x v="7"/>
    <d v="1899-12-30T14:20:00"/>
    <n v="5"/>
    <d v="2026-08-29T14:20:00"/>
    <d v="2026-08-29T14:31:00"/>
    <d v="2026-08-29T15:05:00"/>
    <d v="2026-08-29T15:43:00"/>
    <d v="2026-08-29T15:53:00"/>
    <d v="1899-12-30T01:33:00"/>
    <n v="1168.26"/>
    <x v="1"/>
    <s v="Vikram"/>
    <x v="3"/>
    <s v="5"/>
    <x v="2"/>
    <s v="Rohit"/>
    <x v="12"/>
  </r>
  <r>
    <s v="ORD-1035"/>
    <x v="19"/>
    <d v="1899-12-30T19:00:00"/>
    <n v="4"/>
    <d v="2026-08-13T19:00:00"/>
    <d v="2026-08-13T19:08:00"/>
    <d v="2026-08-13T19:33:00"/>
    <d v="2026-08-13T20:30:00"/>
    <d v="2026-08-13T20:41:00"/>
    <d v="1899-12-30T01:41:00"/>
    <n v="2082.4"/>
    <x v="1"/>
    <s v="Pooja"/>
    <x v="0"/>
    <m/>
    <x v="0"/>
    <s v="Akshay"/>
    <x v="15"/>
  </r>
  <r>
    <s v="ORD-1036"/>
    <x v="21"/>
    <d v="1899-12-30T21:55:00"/>
    <n v="2"/>
    <d v="2026-08-16T21:55:00"/>
    <d v="2026-08-16T22:04:00"/>
    <d v="2026-08-16T22:32:00"/>
    <d v="2026-08-16T23:34:00"/>
    <d v="2026-08-16T23:46:00"/>
    <d v="1899-12-30T01:51:00"/>
    <n v="718.54"/>
    <x v="1"/>
    <s v="Priya"/>
    <x v="1"/>
    <s v="2"/>
    <x v="0"/>
    <s v="Amit"/>
    <x v="9"/>
  </r>
  <r>
    <s v="ORD-1037"/>
    <x v="22"/>
    <d v="1899-12-30T11:35:00"/>
    <n v="8"/>
    <d v="2026-08-01T11:35:00"/>
    <d v="2026-08-01T11:47:00"/>
    <d v="2026-08-01T12:12:00"/>
    <d v="2026-08-01T13:12:00"/>
    <d v="2026-08-01T13:23:00"/>
    <d v="1899-12-30T01:48:00"/>
    <n v="2224.87"/>
    <x v="2"/>
    <s v="Vikram"/>
    <x v="0"/>
    <s v="4"/>
    <x v="0"/>
    <s v="Amit"/>
    <x v="9"/>
  </r>
  <r>
    <s v="ORD-1038"/>
    <x v="0"/>
    <d v="1899-12-30T20:05:00"/>
    <n v="5"/>
    <d v="2026-08-21T20:05:00"/>
    <d v="2026-08-21T20:12:00"/>
    <d v="2026-08-21T20:49:00"/>
    <d v="2026-08-21T21:53:00"/>
    <d v="2026-08-21T22:03:00"/>
    <d v="1899-12-30T01:58:00"/>
    <n v="850"/>
    <x v="0"/>
    <s v="Priya"/>
    <x v="2"/>
    <s v="4"/>
    <x v="0"/>
    <s v="Sagar"/>
    <x v="0"/>
  </r>
  <r>
    <s v="ORD-1039"/>
    <x v="23"/>
    <d v="1899-12-30T20:40:00"/>
    <n v="8"/>
    <d v="2026-08-15T20:40:00"/>
    <d v="2026-08-15T20:57:00"/>
    <d v="2026-08-15T21:23:00"/>
    <d v="2026-08-15T22:22:00"/>
    <d v="2026-08-15T22:37:00"/>
    <d v="1899-12-30T01:57:00"/>
    <n v="1379.5"/>
    <x v="0"/>
    <s v="Vikram"/>
    <x v="0"/>
    <s v="2"/>
    <x v="2"/>
    <s v="Nikita"/>
    <x v="12"/>
  </r>
  <r>
    <s v="ORD-1040"/>
    <x v="21"/>
    <d v="1899-12-30T19:15:00"/>
    <n v="4"/>
    <d v="2026-08-16T19:15:00"/>
    <d v="2026-08-16T19:27:00"/>
    <d v="2026-08-16T19:59:00"/>
    <d v="2026-08-16T20:34:00"/>
    <d v="2026-08-16T20:40:00"/>
    <d v="1899-12-30T01:25:00"/>
    <n v="1738.27"/>
    <x v="2"/>
    <s v="Sahil"/>
    <x v="3"/>
    <s v="3"/>
    <x v="1"/>
    <s v="Neha"/>
    <x v="16"/>
  </r>
  <r>
    <s v="ORD-1041"/>
    <x v="7"/>
    <d v="1899-12-30T19:10:00"/>
    <n v="2"/>
    <d v="2026-08-29T19:10:00"/>
    <d v="2026-08-29T19:21:00"/>
    <d v="2026-08-29T19:55:00"/>
    <d v="2026-08-29T20:24:00"/>
    <d v="2026-08-29T20:37:00"/>
    <d v="1899-12-30T01:27:00"/>
    <m/>
    <x v="1"/>
    <s v="Vikram"/>
    <x v="1"/>
    <s v="5"/>
    <x v="1"/>
    <s v="Kunal"/>
    <x v="0"/>
  </r>
  <r>
    <s v="ORD-1042"/>
    <x v="3"/>
    <d v="1899-12-30T13:30:00"/>
    <n v="5"/>
    <d v="2026-08-02T13:30:00"/>
    <d v="2026-08-02T13:46:00"/>
    <d v="2026-08-02T13:58:00"/>
    <d v="2026-08-02T14:54:00"/>
    <d v="2026-08-02T15:02:00"/>
    <d v="1899-12-30T01:32:00"/>
    <n v="1844.25"/>
    <x v="2"/>
    <s v="Sahil"/>
    <x v="0"/>
    <m/>
    <x v="1"/>
    <s v="Akshay"/>
    <x v="17"/>
  </r>
  <r>
    <s v="ORD-1043"/>
    <x v="18"/>
    <d v="1899-12-30T20:45:00"/>
    <n v="3"/>
    <d v="2026-08-24T20:45:00"/>
    <d v="2026-08-24T20:53:00"/>
    <d v="2026-08-24T21:13:00"/>
    <d v="2026-08-24T22:00:00"/>
    <d v="2026-08-24T22:09:00"/>
    <d v="1899-12-30T01:24:00"/>
    <n v="1301.75"/>
    <x v="2"/>
    <s v="Vikram"/>
    <x v="3"/>
    <m/>
    <x v="1"/>
    <s v="Amit"/>
    <x v="18"/>
  </r>
  <r>
    <s v="ORD-1044"/>
    <x v="24"/>
    <d v="1899-12-30T19:30:00"/>
    <n v="8"/>
    <d v="2026-08-20T19:30:00"/>
    <d v="2026-08-20T19:45:00"/>
    <d v="2026-08-20T19:57:00"/>
    <d v="2026-08-20T20:22:00"/>
    <d v="2026-08-20T20:34:00"/>
    <d v="1899-12-30T01:04:00"/>
    <n v="1944.39"/>
    <x v="1"/>
    <s v="Rohan"/>
    <x v="2"/>
    <s v="3"/>
    <x v="1"/>
    <s v="Neha"/>
    <x v="17"/>
  </r>
  <r>
    <s v="ORD-1045"/>
    <x v="1"/>
    <d v="1899-12-30T19:25:00"/>
    <n v="5"/>
    <d v="2026-08-07T19:25:00"/>
    <d v="2026-08-07T19:42:00"/>
    <d v="2026-08-07T20:20:00"/>
    <d v="2026-08-07T21:06:00"/>
    <d v="2026-08-07T21:12:00"/>
    <d v="1899-12-30T01:47:00"/>
    <n v="936.81"/>
    <x v="1"/>
    <s v="Amit"/>
    <x v="2"/>
    <s v="3"/>
    <x v="0"/>
    <s v="Vivek"/>
    <x v="2"/>
  </r>
  <r>
    <s v="ORD-1046"/>
    <x v="12"/>
    <d v="1899-12-30T21:50:00"/>
    <n v="1"/>
    <d v="2026-08-03T21:50:00"/>
    <d v="2026-08-03T21:58:00"/>
    <d v="2026-08-03T22:16:00"/>
    <d v="2026-08-03T22:37:00"/>
    <d v="2026-08-03T22:48:00"/>
    <d v="1899-12-30T00:58:00"/>
    <n v="874.09"/>
    <x v="0"/>
    <s v="Pooja"/>
    <x v="2"/>
    <s v="5"/>
    <x v="0"/>
    <s v="Pooja"/>
    <x v="19"/>
  </r>
  <r>
    <s v="ORD-1047"/>
    <x v="5"/>
    <d v="1899-12-30T13:25:00"/>
    <n v="2"/>
    <d v="2026-08-23T13:25:00"/>
    <d v="2026-08-23T13:39:00"/>
    <d v="2026-08-23T14:14:00"/>
    <d v="2026-08-23T15:19:00"/>
    <d v="2026-08-23T15:22:00"/>
    <d v="1899-12-30T01:57:00"/>
    <n v="1136.6500000000001"/>
    <x v="0"/>
    <s v="Sahil"/>
    <x v="2"/>
    <s v="5"/>
    <x v="0"/>
    <s v="Rohit"/>
    <x v="5"/>
  </r>
  <r>
    <s v="ORD-1047"/>
    <x v="16"/>
    <d v="1899-12-30T20:30:00"/>
    <n v="5"/>
    <d v="2026-08-19T20:30:00"/>
    <d v="2026-08-19T20:36:00"/>
    <d v="2026-08-19T21:06:00"/>
    <d v="2026-08-19T22:10:00"/>
    <d v="2026-08-19T22:25:00"/>
    <d v="1899-12-30T01:55:00"/>
    <n v="2331.42"/>
    <x v="1"/>
    <s v="Sahil"/>
    <x v="2"/>
    <m/>
    <x v="2"/>
    <s v="Sagar"/>
    <x v="10"/>
  </r>
  <r>
    <s v="ORD-1049"/>
    <x v="3"/>
    <d v="1899-12-30T14:30:00"/>
    <n v="4"/>
    <d v="2026-08-02T14:30:00"/>
    <d v="2026-08-02T14:43:00"/>
    <d v="2026-08-02T15:15:00"/>
    <d v="2026-08-02T15:56:00"/>
    <d v="2026-08-02T15:58:00"/>
    <d v="1899-12-30T01:28:00"/>
    <n v="1818.99"/>
    <x v="1"/>
    <s v="Neha"/>
    <x v="0"/>
    <s v="3"/>
    <x v="2"/>
    <s v="Nikita"/>
    <x v="9"/>
  </r>
  <r>
    <s v="ORD-1050"/>
    <x v="23"/>
    <d v="1899-12-30T20:30:00"/>
    <n v="2"/>
    <d v="2026-08-15T20:30:00"/>
    <d v="2026-08-15T20:45:00"/>
    <d v="2026-08-15T21:05:00"/>
    <d v="2026-08-15T22:04:00"/>
    <d v="2026-08-15T22:18:00"/>
    <d v="1899-12-30T01:48:00"/>
    <n v="490"/>
    <x v="1"/>
    <s v="Pooja"/>
    <x v="0"/>
    <m/>
    <x v="2"/>
    <s v="Anjali"/>
    <x v="16"/>
  </r>
  <r>
    <s v="ORD-1051"/>
    <x v="10"/>
    <d v="1899-12-30T14:15:00"/>
    <n v="2"/>
    <d v="2026-08-09T14:15:00"/>
    <d v="2026-08-09T14:27:00"/>
    <d v="2026-08-09T14:46:00"/>
    <d v="2026-08-09T15:35:00"/>
    <d v="2026-08-09T15:46:00"/>
    <d v="1899-12-30T01:31:00"/>
    <n v="1568.25"/>
    <x v="1"/>
    <s v="Sneha"/>
    <x v="2"/>
    <s v="4"/>
    <x v="1"/>
    <s v="Amit"/>
    <x v="2"/>
  </r>
  <r>
    <s v="ORD-1052"/>
    <x v="21"/>
    <d v="1899-12-30T13:20:00"/>
    <n v="4"/>
    <d v="2026-08-16T13:20:00"/>
    <d v="2026-08-16T13:34:00"/>
    <d v="2026-08-16T14:08:00"/>
    <d v="2026-08-16T14:45:00"/>
    <d v="2026-08-16T14:55:00"/>
    <d v="1899-12-30T01:35:00"/>
    <n v="1276.3800000000001"/>
    <x v="0"/>
    <s v="Neha"/>
    <x v="4"/>
    <m/>
    <x v="1"/>
    <s v="Pooja"/>
    <x v="2"/>
  </r>
  <r>
    <s v="ORD-1053"/>
    <x v="15"/>
    <d v="1899-12-30T20:55:00"/>
    <n v="6"/>
    <d v="2026-08-18T20:55:00"/>
    <d v="2026-08-18T21:07:00"/>
    <d v="2026-08-18T21:44:00"/>
    <d v="2026-08-18T22:05:00"/>
    <d v="2026-08-18T22:08:00"/>
    <d v="1899-12-30T01:13:00"/>
    <n v="1497.69"/>
    <x v="1"/>
    <s v="Priya"/>
    <x v="1"/>
    <m/>
    <x v="2"/>
    <s v="Neha"/>
    <x v="18"/>
  </r>
  <r>
    <s v="ORD-1054"/>
    <x v="21"/>
    <d v="1899-12-30T19:25:00"/>
    <n v="5"/>
    <d v="2026-08-16T19:25:00"/>
    <d v="2026-08-16T19:35:00"/>
    <d v="2026-08-16T19:58:00"/>
    <d v="2026-08-16T21:02:00"/>
    <d v="2026-08-16T21:11:00"/>
    <d v="1899-12-30T01:46:00"/>
    <n v="2086.42"/>
    <x v="2"/>
    <s v="Priya"/>
    <x v="2"/>
    <m/>
    <x v="0"/>
    <s v="Neha"/>
    <x v="1"/>
  </r>
  <r>
    <s v="ORD-1055"/>
    <x v="25"/>
    <d v="1899-12-30T20:55:00"/>
    <n v="2"/>
    <d v="2026-08-04T20:55:00"/>
    <d v="2026-08-04T21:03:00"/>
    <d v="2026-08-04T21:38:00"/>
    <d v="2026-08-04T22:28:00"/>
    <d v="2026-08-04T22:34:00"/>
    <d v="1899-12-30T01:39:00"/>
    <n v="1957.05"/>
    <x v="0"/>
    <s v="Sahil"/>
    <x v="2"/>
    <m/>
    <x v="0"/>
    <s v="Rohit"/>
    <x v="10"/>
  </r>
  <r>
    <s v="ORD-1056"/>
    <x v="6"/>
    <d v="1899-12-30T18:20:00"/>
    <n v="1"/>
    <d v="2026-08-08T18:20:00"/>
    <d v="2026-08-08T18:27:00"/>
    <d v="2026-08-08T18:47:00"/>
    <d v="2026-08-08T19:09:00"/>
    <d v="2026-08-08T19:11:00"/>
    <d v="1899-12-30T00:51:00"/>
    <n v="1782.2"/>
    <x v="2"/>
    <s v="Rohan"/>
    <x v="0"/>
    <s v="1"/>
    <x v="0"/>
    <s v="Anjali"/>
    <x v="1"/>
  </r>
  <r>
    <s v="ORD-1057"/>
    <x v="26"/>
    <d v="1899-12-30T19:35:00"/>
    <n v="4"/>
    <d v="2026-08-10T19:35:00"/>
    <d v="2026-08-10T19:40:00"/>
    <d v="2026-08-10T20:00:00"/>
    <d v="2026-08-10T20:50:00"/>
    <d v="2026-08-10T20:53:00"/>
    <d v="1899-12-30T01:18:00"/>
    <n v="1168.43"/>
    <x v="1"/>
    <s v="Pooja"/>
    <x v="2"/>
    <s v="5"/>
    <x v="2"/>
    <s v="Vivek"/>
    <x v="13"/>
  </r>
  <r>
    <s v="ORD-1058"/>
    <x v="3"/>
    <d v="1899-12-30T13:45:00"/>
    <n v="4"/>
    <d v="2026-08-02T13:45:00"/>
    <d v="2026-08-02T13:53:00"/>
    <d v="2026-08-02T14:08:00"/>
    <d v="2026-08-02T15:03:00"/>
    <d v="2026-08-02T15:17:00"/>
    <d v="1899-12-30T01:32:00"/>
    <n v="1459.93"/>
    <x v="0"/>
    <s v="Priya"/>
    <x v="0"/>
    <s v="4"/>
    <x v="1"/>
    <s v="Rohit"/>
    <x v="9"/>
  </r>
  <r>
    <s v="ORD-1059"/>
    <x v="9"/>
    <d v="1899-12-30T20:30:00"/>
    <n v="4"/>
    <d v="2026-08-28T20:30:00"/>
    <d v="2026-08-28T20:44:00"/>
    <d v="2026-08-28T20:57:00"/>
    <d v="2026-08-28T21:56:00"/>
    <d v="2026-08-28T22:09:00"/>
    <d v="1899-12-30T01:39:00"/>
    <n v="1812.19"/>
    <x v="0"/>
    <s v="Priya"/>
    <x v="1"/>
    <m/>
    <x v="0"/>
    <s v="Amit"/>
    <x v="17"/>
  </r>
  <r>
    <s v="ORD-1060"/>
    <x v="6"/>
    <d v="1899-12-30T13:05:00"/>
    <n v="2"/>
    <d v="2026-08-08T13:05:00"/>
    <d v="2026-08-08T13:16:00"/>
    <d v="2026-08-08T13:42:00"/>
    <d v="2026-08-08T14:46:00"/>
    <d v="2026-08-08T14:57:00"/>
    <d v="1899-12-30T01:52:00"/>
    <n v="1926.55"/>
    <x v="1"/>
    <s v="Priya"/>
    <x v="1"/>
    <m/>
    <x v="1"/>
    <s v="Megha"/>
    <x v="19"/>
  </r>
  <r>
    <s v="ORD-1061"/>
    <x v="9"/>
    <d v="1899-12-30T19:50:00"/>
    <n v="3"/>
    <d v="2026-08-28T19:50:00"/>
    <d v="2026-08-28T20:07:00"/>
    <d v="2026-08-28T20:44:00"/>
    <d v="2026-08-28T21:44:00"/>
    <d v="2026-08-28T21:55:00"/>
    <d v="1899-12-30T02:05:00"/>
    <n v="1246.45"/>
    <x v="0"/>
    <s v="Vikram"/>
    <x v="2"/>
    <s v="5"/>
    <x v="0"/>
    <s v="Vivek"/>
    <x v="2"/>
  </r>
  <r>
    <s v="ORD-1062"/>
    <x v="17"/>
    <d v="1899-12-30T21:10:00"/>
    <n v="2"/>
    <d v="2026-08-05T21:10:00"/>
    <d v="2026-08-05T21:17:00"/>
    <d v="2026-08-05T21:54:00"/>
    <d v="2026-08-05T22:33:00"/>
    <d v="2026-08-05T22:44:00"/>
    <d v="1899-12-30T01:34:00"/>
    <n v="1287.8900000000001"/>
    <x v="0"/>
    <s v="Sahil"/>
    <x v="0"/>
    <s v="1"/>
    <x v="1"/>
    <s v="Megha"/>
    <x v="6"/>
  </r>
  <r>
    <s v="ORD-1063"/>
    <x v="26"/>
    <d v="1899-12-30T20:20:00"/>
    <n v="7"/>
    <d v="2026-08-10T20:20:00"/>
    <d v="2026-08-10T20:32:00"/>
    <d v="2026-08-10T20:58:00"/>
    <d v="2026-08-10T21:23:00"/>
    <d v="2026-08-10T21:34:00"/>
    <d v="1899-12-30T01:14:00"/>
    <n v="1243.3699999999999"/>
    <x v="1"/>
    <s v="Sneha"/>
    <x v="1"/>
    <s v="1"/>
    <x v="0"/>
    <s v="Priya"/>
    <x v="1"/>
  </r>
  <r>
    <s v="ORD-1064"/>
    <x v="11"/>
    <d v="1899-12-30T20:45:00"/>
    <n v="8"/>
    <d v="2026-08-31T20:45:00"/>
    <d v="2026-08-31T21:02:00"/>
    <d v="2026-08-31T21:35:00"/>
    <d v="2026-08-31T22:12:00"/>
    <d v="2026-08-31T22:23:00"/>
    <d v="1899-12-30T01:38:00"/>
    <n v="1306.8800000000001"/>
    <x v="0"/>
    <s v="Pooja"/>
    <x v="0"/>
    <s v="3"/>
    <x v="0"/>
    <s v="Anjali"/>
    <x v="19"/>
  </r>
  <r>
    <s v="ORD-1065"/>
    <x v="14"/>
    <d v="1899-12-30T20:35:00"/>
    <n v="2"/>
    <d v="2026-08-14T20:35:00"/>
    <d v="2026-08-14T20:45:00"/>
    <d v="2026-08-14T21:10:00"/>
    <d v="2026-08-14T21:51:00"/>
    <d v="2026-08-14T21:58:00"/>
    <d v="1899-12-30T01:23:00"/>
    <n v="1836.89"/>
    <x v="0"/>
    <s v="Sneha"/>
    <x v="0"/>
    <m/>
    <x v="1"/>
    <s v="Rohit"/>
    <x v="18"/>
  </r>
  <r>
    <s v="ORD-1066"/>
    <x v="27"/>
    <d v="1899-12-30T22:40:00"/>
    <n v="1"/>
    <d v="2026-08-22T22:40:00"/>
    <d v="2026-08-22T22:46:00"/>
    <d v="2026-08-22T23:08:00"/>
    <d v="2026-08-22T23:44:00"/>
    <d v="2026-08-22T23:51:00"/>
    <d v="1899-12-30T01:11:00"/>
    <n v="2015.93"/>
    <x v="1"/>
    <s v="Amit"/>
    <x v="0"/>
    <s v="4"/>
    <x v="0"/>
    <s v="Priya"/>
    <x v="8"/>
  </r>
  <r>
    <s v="ORD-1067"/>
    <x v="8"/>
    <d v="1899-12-30T18:35:00"/>
    <n v="6"/>
    <d v="2026-08-17T18:35:00"/>
    <d v="2026-08-17T18:43:00"/>
    <d v="2026-08-17T19:03:00"/>
    <d v="2026-08-17T19:58:00"/>
    <d v="2026-08-17T20:02:00"/>
    <d v="1899-12-30T01:27:00"/>
    <n v="1830.39"/>
    <x v="1"/>
    <s v="Pooja"/>
    <x v="3"/>
    <s v="1"/>
    <x v="2"/>
    <s v="Anjali"/>
    <x v="6"/>
  </r>
  <r>
    <s v="ORD-1068"/>
    <x v="2"/>
    <d v="1899-12-30T13:10:00"/>
    <n v="4"/>
    <d v="2026-08-26T13:10:00"/>
    <d v="2026-08-26T13:15:00"/>
    <d v="2026-08-26T13:44:00"/>
    <d v="2026-08-26T14:30:00"/>
    <d v="2026-08-26T14:33:00"/>
    <d v="1899-12-30T01:23:00"/>
    <n v="2181.94"/>
    <x v="1"/>
    <s v="Pooja"/>
    <x v="2"/>
    <m/>
    <x v="0"/>
    <s v="Pooja"/>
    <x v="1"/>
  </r>
  <r>
    <s v="ORD-1069"/>
    <x v="13"/>
    <d v="1899-12-30T20:40:00"/>
    <n v="4"/>
    <d v="2026-08-30T20:40:00"/>
    <d v="2026-08-30T20:58:00"/>
    <d v="2026-08-30T21:25:00"/>
    <d v="2026-08-30T22:15:00"/>
    <d v="2026-08-30T22:20:00"/>
    <d v="1899-12-30T01:40:00"/>
    <n v="1828.9"/>
    <x v="0"/>
    <s v="Vikram"/>
    <x v="3"/>
    <s v="5"/>
    <x v="2"/>
    <s v="Megha"/>
    <x v="11"/>
  </r>
  <r>
    <s v="ORD-1070"/>
    <x v="7"/>
    <d v="1899-12-30T12:05:00"/>
    <n v="4"/>
    <d v="2026-08-29T12:05:00"/>
    <d v="2026-08-29T12:15:00"/>
    <d v="2026-08-29T12:52:00"/>
    <d v="2026-08-29T13:44:00"/>
    <d v="2026-08-29T13:50:00"/>
    <d v="1899-12-30T01:45:00"/>
    <n v="1275.18"/>
    <x v="2"/>
    <s v="Sahil"/>
    <x v="0"/>
    <m/>
    <x v="0"/>
    <s v="Pooja"/>
    <x v="11"/>
  </r>
  <r>
    <s v="ORD-1071"/>
    <x v="15"/>
    <d v="1899-12-30T19:25:00"/>
    <n v="7"/>
    <d v="2026-08-18T19:25:00"/>
    <d v="2026-08-18T19:36:00"/>
    <d v="2026-08-18T20:02:00"/>
    <d v="2026-08-18T20:42:00"/>
    <d v="2026-08-18T20:57:00"/>
    <d v="1899-12-30T01:32:00"/>
    <n v="2188.77"/>
    <x v="2"/>
    <s v="Priya"/>
    <x v="0"/>
    <s v="2"/>
    <x v="1"/>
    <s v="Rahul"/>
    <x v="1"/>
  </r>
  <r>
    <s v="ORD-1072"/>
    <x v="20"/>
    <d v="1899-12-30T20:55:00"/>
    <n v="5"/>
    <d v="2026-08-11T20:55:00"/>
    <d v="2026-08-11T21:10:00"/>
    <d v="2026-08-11T21:47:00"/>
    <d v="2026-08-11T22:48:00"/>
    <d v="2026-08-11T22:52:00"/>
    <d v="1899-12-30T01:57:00"/>
    <n v="2595.92"/>
    <x v="1"/>
    <s v="Rohan"/>
    <x v="1"/>
    <m/>
    <x v="0"/>
    <s v="Nikita"/>
    <x v="3"/>
  </r>
  <r>
    <s v="ORD-1073"/>
    <x v="9"/>
    <d v="1899-12-30T19:40:00"/>
    <n v="6"/>
    <d v="2026-08-28T19:40:00"/>
    <d v="2026-08-28T19:56:00"/>
    <d v="2026-08-28T20:12:00"/>
    <d v="2026-08-28T20:58:00"/>
    <d v="2026-08-28T21:13:00"/>
    <d v="1899-12-30T01:33:00"/>
    <n v="1850.3"/>
    <x v="0"/>
    <s v="Neha"/>
    <x v="0"/>
    <m/>
    <x v="1"/>
    <s v="Neha"/>
    <x v="19"/>
  </r>
  <r>
    <s v="ORD-1074"/>
    <x v="24"/>
    <d v="1899-12-30T20:50:00"/>
    <n v="2"/>
    <d v="2026-08-20T20:50:00"/>
    <m/>
    <m/>
    <d v="2026-08-20T22:35:00"/>
    <d v="2026-08-20T22:43:00"/>
    <d v="1899-12-30T01:53:00"/>
    <n v="2250.5500000000002"/>
    <x v="2"/>
    <s v="Pooja"/>
    <x v="2"/>
    <s v="5"/>
    <x v="0"/>
    <s v="Priya"/>
    <x v="12"/>
  </r>
  <r>
    <s v="ORD-1075"/>
    <x v="0"/>
    <d v="1899-12-30T20:20:00"/>
    <n v="3"/>
    <d v="2026-08-21T20:20:00"/>
    <d v="2026-08-21T20:31:00"/>
    <d v="2026-08-21T20:46:00"/>
    <d v="2026-08-21T21:46:00"/>
    <d v="2026-08-21T21:59:00"/>
    <d v="1899-12-30T01:39:00"/>
    <n v="610"/>
    <x v="1"/>
    <s v="Rohan"/>
    <x v="1"/>
    <s v="1"/>
    <x v="0"/>
    <s v="Neha"/>
    <x v="9"/>
  </r>
  <r>
    <s v="ORD-1076"/>
    <x v="2"/>
    <d v="1899-12-30T12:25:00"/>
    <n v="4"/>
    <d v="2026-08-26T12:25:00"/>
    <d v="2026-08-26T12:32:00"/>
    <d v="2026-08-26T12:51:00"/>
    <d v="2026-08-26T13:44:00"/>
    <d v="2026-08-26T13:52:00"/>
    <d v="1899-12-30T01:27:00"/>
    <n v="2082.0500000000002"/>
    <x v="0"/>
    <s v="Rohan"/>
    <x v="3"/>
    <s v="1"/>
    <x v="2"/>
    <s v="Nikita"/>
    <x v="11"/>
  </r>
  <r>
    <s v="ORD-1077"/>
    <x v="19"/>
    <d v="1899-12-30T20:15:00"/>
    <n v="6"/>
    <d v="2026-08-13T20:15:00"/>
    <d v="2026-08-13T20:22:00"/>
    <d v="2026-08-13T20:41:00"/>
    <d v="2026-08-13T21:30:00"/>
    <d v="2026-08-13T21:42:00"/>
    <d v="1899-12-30T01:27:00"/>
    <n v="1917.88"/>
    <x v="2"/>
    <s v="Amit"/>
    <x v="0"/>
    <s v="3"/>
    <x v="2"/>
    <s v="Akshay"/>
    <x v="17"/>
  </r>
  <r>
    <s v="ORD-1078"/>
    <x v="28"/>
    <d v="1899-12-30T12:25:00"/>
    <n v="8"/>
    <d v="2026-08-06T12:25:00"/>
    <d v="2026-08-06T12:40:00"/>
    <d v="2026-08-06T13:05:00"/>
    <d v="2026-08-06T14:09:00"/>
    <d v="2026-08-06T14:15:00"/>
    <d v="1899-12-30T01:50:00"/>
    <n v="1945.55"/>
    <x v="2"/>
    <s v="Priya"/>
    <x v="0"/>
    <m/>
    <x v="1"/>
    <s v="Sneha"/>
    <x v="15"/>
  </r>
  <r>
    <s v="ORD-1079"/>
    <x v="6"/>
    <d v="1899-12-30T18:25:00"/>
    <n v="8"/>
    <d v="2026-08-08T18:25:00"/>
    <d v="2026-08-08T18:41:00"/>
    <d v="2026-08-08T19:02:00"/>
    <d v="2026-08-08T19:23:00"/>
    <d v="2026-08-08T19:38:00"/>
    <d v="1899-12-30T01:13:00"/>
    <n v="2160.4699999999998"/>
    <x v="2"/>
    <s v="Amit"/>
    <x v="2"/>
    <s v="5"/>
    <x v="2"/>
    <s v="Pooja"/>
    <x v="15"/>
  </r>
  <r>
    <s v="ORD-1080"/>
    <x v="29"/>
    <d v="1899-12-30T21:20:00"/>
    <n v="3"/>
    <d v="2026-08-27T21:20:00"/>
    <d v="2026-08-27T21:37:00"/>
    <d v="2026-08-27T22:00:00"/>
    <d v="2026-08-27T22:34:00"/>
    <d v="2026-08-27T22:46:00"/>
    <d v="1899-12-30T01:26:00"/>
    <n v="610"/>
    <x v="2"/>
    <s v="Rohan"/>
    <x v="2"/>
    <m/>
    <x v="2"/>
    <s v="Rahul"/>
    <x v="5"/>
  </r>
  <r>
    <s v="ORD-1081"/>
    <x v="26"/>
    <d v="1899-12-30T21:00:00"/>
    <n v="8"/>
    <d v="2026-08-10T21:00:00"/>
    <d v="2026-08-10T21:16:00"/>
    <d v="2026-08-10T21:32:00"/>
    <d v="2026-08-10T21:57:00"/>
    <d v="2026-08-10T22:03:00"/>
    <d v="1899-12-30T01:03:00"/>
    <n v="1989.18"/>
    <x v="1"/>
    <s v="Rohan"/>
    <x v="3"/>
    <s v="2"/>
    <x v="2"/>
    <s v="Neha"/>
    <x v="14"/>
  </r>
  <r>
    <s v="ORD-1082"/>
    <x v="8"/>
    <d v="1899-12-30T19:20:00"/>
    <n v="2"/>
    <d v="2026-08-17T19:20:00"/>
    <d v="2026-08-17T19:38:00"/>
    <d v="2026-08-17T20:05:00"/>
    <d v="2026-08-17T20:43:00"/>
    <d v="2026-08-17T20:56:00"/>
    <d v="1899-12-30T01:36:00"/>
    <n v="1586.41"/>
    <x v="1"/>
    <s v="Pooja"/>
    <x v="2"/>
    <s v="2"/>
    <x v="0"/>
    <s v="Nikita"/>
    <x v="2"/>
  </r>
  <r>
    <s v="ORD-1083"/>
    <x v="27"/>
    <d v="1899-12-30T20:30:00"/>
    <n v="7"/>
    <d v="2026-08-22T20:30:00"/>
    <d v="2026-08-22T20:36:00"/>
    <d v="2026-08-22T21:13:00"/>
    <d v="2026-08-22T21:58:00"/>
    <d v="2026-08-22T22:00:00"/>
    <d v="1899-12-30T01:30:00"/>
    <n v="2802.84"/>
    <x v="1"/>
    <s v="Pooja"/>
    <x v="1"/>
    <m/>
    <x v="2"/>
    <s v="Vivek"/>
    <x v="14"/>
  </r>
  <r>
    <s v="ORD-1084"/>
    <x v="10"/>
    <d v="1899-12-30T19:50:00"/>
    <n v="4"/>
    <d v="2026-08-09T19:50:00"/>
    <d v="2026-08-09T20:05:00"/>
    <d v="2026-08-09T20:24:00"/>
    <d v="2026-08-09T21:14:00"/>
    <d v="2026-08-09T21:16:00"/>
    <d v="1899-12-30T01:26:00"/>
    <n v="1344.95"/>
    <x v="0"/>
    <s v="Sneha"/>
    <x v="3"/>
    <m/>
    <x v="0"/>
    <s v="Vivek"/>
    <x v="4"/>
  </r>
  <r>
    <s v="ORD-1085"/>
    <x v="29"/>
    <d v="1899-12-30T19:55:00"/>
    <n v="4"/>
    <d v="2026-08-27T19:55:00"/>
    <d v="2026-08-27T20:01:00"/>
    <d v="2026-08-27T20:17:00"/>
    <d v="2026-08-27T20:39:00"/>
    <d v="2026-08-27T20:41:00"/>
    <d v="1899-12-30T00:46:00"/>
    <n v="1185.33"/>
    <x v="1"/>
    <s v="Neha"/>
    <x v="2"/>
    <s v="2"/>
    <x v="2"/>
    <s v="Amit"/>
    <x v="11"/>
  </r>
  <r>
    <s v="ORD-1086"/>
    <x v="19"/>
    <d v="1899-12-30T19:50:00"/>
    <n v="7"/>
    <d v="2026-08-13T19:50:00"/>
    <d v="2026-08-13T20:04:00"/>
    <d v="2026-08-13T20:39:00"/>
    <d v="2026-08-13T21:08:00"/>
    <d v="2026-08-13T21:16:00"/>
    <d v="1899-12-30T01:26:00"/>
    <n v="1714.03"/>
    <x v="1"/>
    <s v="Vikram"/>
    <x v="1"/>
    <s v="1"/>
    <x v="2"/>
    <s v="Neha"/>
    <x v="11"/>
  </r>
  <r>
    <s v="ORD-1087"/>
    <x v="1"/>
    <d v="1899-12-30T19:15:00"/>
    <n v="4"/>
    <d v="2026-08-07T19:15:00"/>
    <d v="2026-08-07T19:30:00"/>
    <d v="2026-08-07T19:53:00"/>
    <d v="2026-08-07T20:47:00"/>
    <d v="2026-08-07T20:59:00"/>
    <d v="1899-12-30T01:44:00"/>
    <n v="2133.4699999999998"/>
    <x v="1"/>
    <s v="Sahil"/>
    <x v="3"/>
    <s v="1"/>
    <x v="1"/>
    <s v="Sneha"/>
    <x v="4"/>
  </r>
  <r>
    <s v="ORD-1088"/>
    <x v="27"/>
    <d v="1899-12-30T13:50:00"/>
    <n v="8"/>
    <d v="2026-08-22T13:50:00"/>
    <d v="2026-08-22T13:55:00"/>
    <d v="2026-08-22T14:32:00"/>
    <d v="2026-08-22T15:13:00"/>
    <d v="2026-08-22T15:18:00"/>
    <d v="1899-12-30T01:28:00"/>
    <n v="2290.81"/>
    <x v="0"/>
    <s v="Priya"/>
    <x v="2"/>
    <m/>
    <x v="2"/>
    <s v="Priya"/>
    <x v="19"/>
  </r>
  <r>
    <s v="ORD-1089"/>
    <x v="16"/>
    <d v="1899-12-30T13:15:00"/>
    <n v="4"/>
    <d v="2026-08-19T13:15:00"/>
    <d v="2026-08-19T13:32:00"/>
    <d v="2026-08-19T14:03:00"/>
    <d v="2026-08-19T14:23:00"/>
    <d v="2026-08-19T14:29:00"/>
    <d v="1899-12-30T01:14:00"/>
    <n v="1338.63"/>
    <x v="0"/>
    <s v="Rohan"/>
    <x v="1"/>
    <m/>
    <x v="0"/>
    <s v="Sneha"/>
    <x v="7"/>
  </r>
  <r>
    <s v="ORD-1090"/>
    <x v="27"/>
    <d v="1899-12-30T21:10:00"/>
    <n v="1"/>
    <d v="2026-08-22T21:10:00"/>
    <d v="2026-08-22T21:27:00"/>
    <d v="2026-08-22T22:04:00"/>
    <d v="2026-08-22T22:39:00"/>
    <d v="2026-08-22T22:50:00"/>
    <d v="1899-12-30T01:40:00"/>
    <n v="1552.3"/>
    <x v="0"/>
    <s v="Sahil"/>
    <x v="2"/>
    <s v="2"/>
    <x v="2"/>
    <s v="Kunal"/>
    <x v="14"/>
  </r>
  <r>
    <s v="ORD-1091"/>
    <x v="8"/>
    <d v="1899-12-30T12:05:00"/>
    <n v="6"/>
    <d v="2026-08-17T12:05:00"/>
    <d v="2026-08-17T12:22:00"/>
    <d v="2026-08-17T12:45:00"/>
    <d v="2026-08-17T13:37:00"/>
    <d v="2026-08-17T13:48:00"/>
    <d v="1899-12-30T01:43:00"/>
    <n v="1923.39"/>
    <x v="0"/>
    <s v="Priya"/>
    <x v="2"/>
    <m/>
    <x v="2"/>
    <s v="Akshay"/>
    <x v="8"/>
  </r>
  <r>
    <s v="ORD-1092"/>
    <x v="26"/>
    <d v="1899-12-30T19:00:00"/>
    <m/>
    <d v="2026-08-10T19:00:00"/>
    <d v="2026-08-10T19:18:00"/>
    <d v="2026-08-10T19:42:00"/>
    <d v="2026-08-10T20:29:00"/>
    <d v="2026-08-10T20:41:00"/>
    <d v="1899-12-30T01:41:00"/>
    <n v="1802.75"/>
    <x v="2"/>
    <s v="Pooja"/>
    <x v="2"/>
    <s v="1"/>
    <x v="1"/>
    <s v="Anjali"/>
    <x v="18"/>
  </r>
  <r>
    <s v="ORD-1093"/>
    <x v="17"/>
    <d v="1899-12-30T12:20:00"/>
    <n v="8"/>
    <d v="2026-08-05T12:20:00"/>
    <d v="2026-08-05T12:33:00"/>
    <d v="2026-08-05T13:07:00"/>
    <d v="2026-08-05T13:47:00"/>
    <d v="2026-08-05T13:55:00"/>
    <d v="1899-12-30T01:35:00"/>
    <n v="1723.87"/>
    <x v="0"/>
    <s v="Sahil"/>
    <x v="0"/>
    <s v="5"/>
    <x v="2"/>
    <s v="Kunal"/>
    <x v="17"/>
  </r>
  <r>
    <s v="ORD-1094"/>
    <x v="25"/>
    <d v="1899-12-30T21:05:00"/>
    <n v="7"/>
    <d v="2026-08-04T21:05:00"/>
    <d v="2026-08-04T21:16:00"/>
    <d v="2026-08-04T21:42:00"/>
    <d v="2026-08-04T22:16:00"/>
    <d v="2026-08-04T22:24:00"/>
    <d v="1899-12-30T01:19:00"/>
    <n v="1809.79"/>
    <x v="1"/>
    <s v="Vikram"/>
    <x v="0"/>
    <m/>
    <x v="0"/>
    <s v="Neha"/>
    <x v="10"/>
  </r>
  <r>
    <s v="ORD-1095"/>
    <x v="14"/>
    <d v="1899-12-30T14:20:00"/>
    <n v="4"/>
    <d v="2026-08-14T14:20:00"/>
    <d v="2026-08-14T14:35:00"/>
    <d v="2026-08-14T15:02:00"/>
    <d v="2026-08-14T15:26:00"/>
    <d v="2026-08-14T15:29:00"/>
    <d v="1899-12-30T01:09:00"/>
    <n v="1414.34"/>
    <x v="1"/>
    <s v="Vikram"/>
    <x v="2"/>
    <m/>
    <x v="2"/>
    <s v="Neha"/>
    <x v="7"/>
  </r>
  <r>
    <s v="ORD-1096"/>
    <x v="2"/>
    <d v="1899-12-30T12:00:00"/>
    <n v="8"/>
    <d v="2026-08-26T12:00:00"/>
    <d v="2026-08-26T12:13:00"/>
    <d v="2026-08-26T12:35:00"/>
    <d v="2026-08-26T13:37:00"/>
    <d v="2026-08-26T13:40:00"/>
    <d v="1899-12-30T01:40:00"/>
    <n v="1305.07"/>
    <x v="1"/>
    <s v="Vikram"/>
    <x v="2"/>
    <s v="3"/>
    <x v="2"/>
    <s v="Rohit"/>
    <x v="1"/>
  </r>
  <r>
    <s v="ORD-1097"/>
    <x v="30"/>
    <d v="1899-12-30T12:40:00"/>
    <n v="3"/>
    <d v="2026-08-12T12:40:00"/>
    <d v="2026-08-12T12:55:00"/>
    <d v="2026-08-12T13:22:00"/>
    <d v="2026-08-12T13:56:00"/>
    <d v="2026-08-12T14:11:00"/>
    <d v="1899-12-30T01:31:00"/>
    <n v="1672.87"/>
    <x v="0"/>
    <s v="Sneha"/>
    <x v="2"/>
    <m/>
    <x v="1"/>
    <s v="Anjali"/>
    <x v="7"/>
  </r>
  <r>
    <s v="ORD-1098"/>
    <x v="6"/>
    <d v="1899-12-30T21:40:00"/>
    <n v="8"/>
    <d v="2026-08-08T21:40:00"/>
    <d v="2026-08-08T21:55:00"/>
    <d v="2026-08-08T22:27:00"/>
    <d v="2026-08-08T23:22:00"/>
    <d v="2026-08-08T23:24:00"/>
    <d v="1899-12-30T01:44:00"/>
    <n v="2253.58"/>
    <x v="2"/>
    <s v="Sahil"/>
    <x v="2"/>
    <s v="2"/>
    <x v="1"/>
    <s v="Megha"/>
    <x v="5"/>
  </r>
  <r>
    <s v="ORD-1099"/>
    <x v="4"/>
    <d v="1899-12-30T14:25:00"/>
    <n v="4"/>
    <d v="2026-08-25T14:25:00"/>
    <d v="2026-08-25T14:32:00"/>
    <d v="2026-08-25T14:48:00"/>
    <d v="2026-08-25T15:44:00"/>
    <d v="2026-08-25T15:56:00"/>
    <d v="1899-12-30T01:31:00"/>
    <n v="1632.81"/>
    <x v="0"/>
    <s v="Amit"/>
    <x v="2"/>
    <m/>
    <x v="2"/>
    <s v="Priya"/>
    <x v="19"/>
  </r>
  <r>
    <s v="ORD-1100"/>
    <x v="19"/>
    <d v="1899-12-30T18:25:00"/>
    <n v="2"/>
    <d v="2026-08-13T18:25:00"/>
    <d v="2026-08-13T18:34:00"/>
    <d v="2026-08-13T19:09:00"/>
    <d v="2026-08-13T19:49:00"/>
    <d v="2026-08-13T20:03:00"/>
    <d v="1899-12-30T01:38:00"/>
    <n v="1260.98"/>
    <x v="0"/>
    <s v="Neha"/>
    <x v="2"/>
    <s v="2"/>
    <x v="0"/>
    <s v="Sagar"/>
    <x v="14"/>
  </r>
  <r>
    <s v="ORD-1101"/>
    <x v="24"/>
    <d v="1899-12-30T11:05:00"/>
    <n v="4"/>
    <d v="2026-08-20T11:05:00"/>
    <d v="2026-08-20T11:20:00"/>
    <d v="2026-08-20T11:45:00"/>
    <d v="2026-08-20T12:36:00"/>
    <d v="2026-08-20T12:47:00"/>
    <d v="1899-12-30T01:42:00"/>
    <n v="851.55"/>
    <x v="2"/>
    <s v="Priya"/>
    <x v="2"/>
    <s v="3"/>
    <x v="1"/>
    <s v="Sneha"/>
    <x v="8"/>
  </r>
  <r>
    <s v="ORD-1102"/>
    <x v="26"/>
    <d v="1899-12-30T20:45:00"/>
    <n v="6"/>
    <d v="2026-08-10T20:45:00"/>
    <d v="2026-08-10T21:00:00"/>
    <d v="2026-08-10T21:21:00"/>
    <d v="2026-08-10T21:43:00"/>
    <d v="2026-08-10T21:48:00"/>
    <d v="1899-12-30T01:03:00"/>
    <n v="1638.65"/>
    <x v="0"/>
    <s v="Amit"/>
    <x v="2"/>
    <s v="2"/>
    <x v="1"/>
    <s v="Priya"/>
    <x v="16"/>
  </r>
  <r>
    <s v="ORD-1103"/>
    <x v="4"/>
    <d v="1899-12-30T12:20:00"/>
    <n v="4"/>
    <d v="2026-08-25T12:20:00"/>
    <d v="2026-08-25T12:26:00"/>
    <d v="2026-08-25T12:38:00"/>
    <d v="2026-08-25T13:29:00"/>
    <d v="2026-08-25T13:42:00"/>
    <d v="1899-12-30T01:22:00"/>
    <n v="1441.51"/>
    <x v="0"/>
    <s v="Vikram"/>
    <x v="3"/>
    <s v="5"/>
    <x v="2"/>
    <s v="Nikita"/>
    <x v="12"/>
  </r>
  <r>
    <s v="ORD-1104"/>
    <x v="27"/>
    <d v="1899-12-30T21:05:00"/>
    <n v="5"/>
    <d v="2026-08-22T21:05:00"/>
    <d v="2026-08-22T21:16:00"/>
    <d v="2026-08-22T21:28:00"/>
    <d v="2026-08-22T22:17:00"/>
    <d v="2026-08-22T22:20:00"/>
    <d v="1899-12-30T01:15:00"/>
    <n v="1308.75"/>
    <x v="0"/>
    <s v="Vikram"/>
    <x v="0"/>
    <m/>
    <x v="2"/>
    <s v="Kunal"/>
    <x v="6"/>
  </r>
  <r>
    <s v="ORD-1105"/>
    <x v="26"/>
    <d v="1899-12-30T12:00:00"/>
    <n v="4"/>
    <d v="2026-08-10T12:00:00"/>
    <d v="2026-08-10T12:17:00"/>
    <d v="2026-08-10T12:48:00"/>
    <d v="2026-08-10T13:37:00"/>
    <d v="2026-08-10T13:52:00"/>
    <d v="1899-12-30T01:52:00"/>
    <n v="1541.29"/>
    <x v="2"/>
    <s v="Neha"/>
    <x v="0"/>
    <m/>
    <x v="0"/>
    <s v="Priya"/>
    <x v="13"/>
  </r>
  <r>
    <s v="ORD-1106"/>
    <x v="14"/>
    <d v="1899-12-30T20:40:00"/>
    <n v="2"/>
    <d v="2026-08-14T20:40:00"/>
    <d v="2026-08-14T20:58:00"/>
    <d v="2026-08-14T21:19:00"/>
    <d v="2026-08-14T22:00:00"/>
    <d v="2026-08-14T22:05:00"/>
    <d v="1899-12-30T01:25:00"/>
    <n v="1612.23"/>
    <x v="0"/>
    <s v="Neha"/>
    <x v="2"/>
    <s v="5"/>
    <x v="2"/>
    <s v="Priya"/>
    <x v="3"/>
  </r>
  <r>
    <s v="ORD-1107"/>
    <x v="7"/>
    <d v="1899-12-30T20:25:00"/>
    <n v="2"/>
    <d v="2026-08-29T20:25:00"/>
    <d v="2026-08-29T20:31:00"/>
    <d v="2026-08-29T20:47:00"/>
    <d v="2026-08-29T21:23:00"/>
    <d v="2026-08-29T21:28:00"/>
    <d v="1899-12-30T01:03:00"/>
    <n v="2427.4"/>
    <x v="0"/>
    <s v="Neha"/>
    <x v="3"/>
    <m/>
    <x v="2"/>
    <s v="Pooja"/>
    <x v="0"/>
  </r>
  <r>
    <s v="ORD-1108"/>
    <x v="23"/>
    <d v="1899-12-30T20:45:00"/>
    <n v="6"/>
    <d v="2026-08-15T20:45:00"/>
    <d v="2026-08-15T21:00:00"/>
    <d v="2026-08-15T21:32:00"/>
    <d v="2026-08-15T22:31:00"/>
    <d v="2026-08-15T22:38:00"/>
    <d v="1899-12-30T01:53:00"/>
    <n v="1966.02"/>
    <x v="2"/>
    <s v="Sneha"/>
    <x v="3"/>
    <s v="4"/>
    <x v="0"/>
    <s v="Pooja"/>
    <x v="17"/>
  </r>
  <r>
    <s v="ORD-1109"/>
    <x v="23"/>
    <d v="1899-12-30T20:20:00"/>
    <n v="8"/>
    <d v="2026-08-15T20:20:00"/>
    <d v="2026-08-15T20:30:00"/>
    <d v="2026-08-15T20:58:00"/>
    <d v="2026-08-15T21:22:00"/>
    <d v="2026-08-15T21:28:00"/>
    <d v="1899-12-30T01:08:00"/>
    <n v="2251.65"/>
    <x v="1"/>
    <s v="Amit"/>
    <x v="1"/>
    <m/>
    <x v="1"/>
    <s v="Sneha"/>
    <x v="6"/>
  </r>
  <r>
    <s v="ORD-1110"/>
    <x v="0"/>
    <d v="1899-12-30T21:05:00"/>
    <n v="8"/>
    <d v="2026-08-21T21:05:00"/>
    <d v="2026-08-21T21:18:00"/>
    <d v="2026-08-21T21:42:00"/>
    <d v="2026-08-21T22:31:00"/>
    <d v="2026-08-21T22:42:00"/>
    <d v="1899-12-30T01:37:00"/>
    <m/>
    <x v="2"/>
    <s v="Amit"/>
    <x v="0"/>
    <m/>
    <x v="2"/>
    <s v="Vivek"/>
    <x v="5"/>
  </r>
  <r>
    <s v="ORD-1111"/>
    <x v="1"/>
    <d v="1899-12-30T14:35:00"/>
    <n v="7"/>
    <d v="2026-08-07T14:35:00"/>
    <d v="2026-08-07T14:40:00"/>
    <d v="2026-08-07T15:06:00"/>
    <d v="2026-08-07T15:32:00"/>
    <d v="2026-08-07T15:46:00"/>
    <d v="1899-12-30T01:11:00"/>
    <n v="1090"/>
    <x v="2"/>
    <s v="Neha"/>
    <x v="3"/>
    <s v="1"/>
    <x v="0"/>
    <s v="Megha"/>
    <x v="7"/>
  </r>
  <r>
    <s v="ORD-1112"/>
    <x v="23"/>
    <d v="1899-12-30T22:40:00"/>
    <n v="7"/>
    <d v="2026-08-15T22:40:00"/>
    <d v="2026-08-15T22:47:00"/>
    <d v="2026-08-15T23:10:00"/>
    <d v="2026-08-15T23:53:00"/>
    <d v="2026-08-15T23:59:00"/>
    <d v="1899-12-30T01:19:00"/>
    <n v="1975.42"/>
    <x v="2"/>
    <s v="Amit"/>
    <x v="1"/>
    <s v="1"/>
    <x v="1"/>
    <s v="Sneha"/>
    <x v="5"/>
  </r>
  <r>
    <s v="ORD-1113"/>
    <x v="15"/>
    <d v="1899-12-30T20:20:00"/>
    <n v="4"/>
    <d v="2026-08-18T20:20:00"/>
    <d v="2026-08-18T20:38:00"/>
    <d v="2026-08-18T20:54:00"/>
    <d v="2026-08-18T21:35:00"/>
    <d v="2026-08-18T21:38:00"/>
    <d v="1899-12-30T01:18:00"/>
    <n v="1663.13"/>
    <x v="0"/>
    <s v="Sneha"/>
    <x v="1"/>
    <m/>
    <x v="2"/>
    <s v="Vivek"/>
    <x v="5"/>
  </r>
  <r>
    <s v="ORD-1114"/>
    <x v="19"/>
    <d v="1899-12-30T12:55:00"/>
    <n v="2"/>
    <d v="2026-08-13T12:55:00"/>
    <d v="2026-08-13T13:08:00"/>
    <d v="2026-08-13T13:32:00"/>
    <d v="2026-08-13T14:33:00"/>
    <d v="2026-08-13T14:47:00"/>
    <d v="1899-12-30T01:52:00"/>
    <n v="2744.78"/>
    <x v="0"/>
    <s v="Neha"/>
    <x v="0"/>
    <s v="5"/>
    <x v="1"/>
    <s v="Rahul"/>
    <x v="15"/>
  </r>
  <r>
    <s v="ORD-1115"/>
    <x v="30"/>
    <d v="1899-12-30T14:15:00"/>
    <n v="4"/>
    <d v="2026-08-12T14:15:00"/>
    <d v="2026-08-12T14:23:00"/>
    <d v="2026-08-12T14:42:00"/>
    <d v="2026-08-12T15:10:00"/>
    <d v="2026-08-12T15:14:00"/>
    <d v="1899-12-30T00:59:00"/>
    <n v="1371.78"/>
    <x v="1"/>
    <s v="Amit"/>
    <x v="1"/>
    <m/>
    <x v="2"/>
    <s v="Amit"/>
    <x v="18"/>
  </r>
  <r>
    <s v="ORD-1116"/>
    <x v="24"/>
    <d v="1899-12-30T18:10:00"/>
    <n v="2"/>
    <d v="2026-08-20T18:10:00"/>
    <d v="2026-08-20T18:27:00"/>
    <d v="2026-08-20T18:44:00"/>
    <d v="2026-08-20T19:32:00"/>
    <d v="2026-08-20T19:34:00"/>
    <d v="1899-12-30T01:24:00"/>
    <n v="1555.85"/>
    <x v="2"/>
    <s v="Priya"/>
    <x v="0"/>
    <s v="5"/>
    <x v="1"/>
    <s v="Sagar"/>
    <x v="5"/>
  </r>
  <r>
    <s v="ORD-1117"/>
    <x v="18"/>
    <d v="1899-12-30T21:15:00"/>
    <n v="7"/>
    <d v="2026-08-24T21:15:00"/>
    <d v="2026-08-24T21:24:00"/>
    <d v="2026-08-24T22:01:00"/>
    <d v="2026-08-24T22:51:00"/>
    <d v="2026-08-24T23:06:00"/>
    <d v="1899-12-30T01:51:00"/>
    <n v="1970.91"/>
    <x v="2"/>
    <s v="Pooja"/>
    <x v="0"/>
    <m/>
    <x v="1"/>
    <s v="Sagar"/>
    <x v="0"/>
  </r>
  <r>
    <s v="ORD-1118"/>
    <x v="19"/>
    <d v="1899-12-30T19:30:00"/>
    <n v="2"/>
    <d v="2026-08-13T19:30:00"/>
    <d v="2026-08-13T19:47:00"/>
    <d v="2026-08-13T20:18:00"/>
    <d v="2026-08-13T20:46:00"/>
    <d v="2026-08-13T21:01:00"/>
    <d v="1899-12-30T01:31:00"/>
    <n v="747.23"/>
    <x v="2"/>
    <s v="Pooja"/>
    <x v="1"/>
    <s v="5"/>
    <x v="0"/>
    <s v="Megha"/>
    <x v="10"/>
  </r>
  <r>
    <s v="ORD-1047"/>
    <x v="9"/>
    <d v="1899-12-30T19:05:00"/>
    <n v="4"/>
    <d v="2026-08-28T19:05:00"/>
    <d v="2026-08-28T19:22:00"/>
    <d v="2026-08-28T19:39:00"/>
    <d v="2026-08-28T20:16:00"/>
    <d v="2026-08-28T20:25:00"/>
    <d v="1899-12-30T01:20:00"/>
    <n v="2258.5500000000002"/>
    <x v="0"/>
    <s v="Vikram"/>
    <x v="2"/>
    <s v="2"/>
    <x v="1"/>
    <s v="Neha"/>
    <x v="9"/>
  </r>
  <r>
    <s v="ORD-1120"/>
    <x v="13"/>
    <d v="1899-12-30T11:00:00"/>
    <n v="5"/>
    <d v="2026-08-30T11:00:00"/>
    <d v="2026-08-30T11:10:00"/>
    <d v="2026-08-30T11:29:00"/>
    <d v="2026-08-30T12:13:00"/>
    <d v="2026-08-30T12:16:00"/>
    <d v="1899-12-30T01:16:00"/>
    <n v="2163.56"/>
    <x v="1"/>
    <s v="Sneha"/>
    <x v="2"/>
    <m/>
    <x v="2"/>
    <s v="Vivek"/>
    <x v="16"/>
  </r>
  <r>
    <s v="ORD-1121"/>
    <x v="20"/>
    <d v="1899-12-30T21:10:00"/>
    <n v="1"/>
    <d v="2026-08-11T21:10:00"/>
    <d v="2026-08-11T21:28:00"/>
    <d v="2026-08-11T21:55:00"/>
    <d v="2026-08-11T22:59:00"/>
    <d v="2026-08-11T23:14:00"/>
    <d v="1899-12-30T02:04:00"/>
    <n v="1705.07"/>
    <x v="2"/>
    <s v="Pooja"/>
    <x v="0"/>
    <s v="5"/>
    <x v="0"/>
    <s v="Sneha"/>
    <x v="15"/>
  </r>
  <r>
    <s v="ORD-1122"/>
    <x v="22"/>
    <d v="1899-12-30T13:10:00"/>
    <n v="7"/>
    <d v="2026-08-01T13:10:00"/>
    <d v="2026-08-01T13:23:00"/>
    <d v="2026-08-01T13:48:00"/>
    <d v="2026-08-01T14:15:00"/>
    <d v="2026-08-01T14:29:00"/>
    <d v="1899-12-30T01:19:00"/>
    <n v="1489.84"/>
    <x v="2"/>
    <s v="Neha"/>
    <x v="2"/>
    <s v="2"/>
    <x v="1"/>
    <s v="Vivek"/>
    <x v="5"/>
  </r>
  <r>
    <s v="ORD-1123"/>
    <x v="2"/>
    <d v="1899-12-30T20:05:00"/>
    <n v="2"/>
    <d v="2026-08-26T20:05:00"/>
    <d v="2026-08-26T20:19:00"/>
    <d v="2026-08-26T20:48:00"/>
    <d v="2026-08-26T21:09:00"/>
    <d v="2026-08-26T21:21:00"/>
    <d v="1899-12-30T01:16:00"/>
    <n v="2161.54"/>
    <x v="0"/>
    <s v="Rohan"/>
    <x v="1"/>
    <s v="4"/>
    <x v="0"/>
    <s v="Anjali"/>
    <x v="18"/>
  </r>
  <r>
    <s v="ORD-1124"/>
    <x v="30"/>
    <d v="1899-12-30T13:30:00"/>
    <n v="2"/>
    <d v="2026-08-12T13:30:00"/>
    <d v="2026-08-12T13:43:00"/>
    <d v="2026-08-12T14:06:00"/>
    <d v="2026-08-12T14:30:00"/>
    <d v="2026-08-12T14:40:00"/>
    <d v="1899-12-30T01:10:00"/>
    <n v="618.98"/>
    <x v="0"/>
    <s v="Amit"/>
    <x v="0"/>
    <m/>
    <x v="1"/>
    <s v="Rahul"/>
    <x v="9"/>
  </r>
  <r>
    <s v="ORD-1125"/>
    <x v="0"/>
    <d v="1899-12-30T18:25:00"/>
    <n v="4"/>
    <d v="2026-08-21T18:25:00"/>
    <d v="2026-08-21T18:35:00"/>
    <d v="2026-08-21T19:12:00"/>
    <d v="2026-08-21T19:36:00"/>
    <d v="2026-08-21T19:43:00"/>
    <d v="1899-12-30T01:18:00"/>
    <n v="1952.77"/>
    <x v="2"/>
    <s v="Neha"/>
    <x v="1"/>
    <s v="2"/>
    <x v="0"/>
    <s v="Neha"/>
    <x v="19"/>
  </r>
  <r>
    <s v="ORD-1126"/>
    <x v="15"/>
    <d v="1899-12-30T14:50:00"/>
    <n v="2"/>
    <d v="2026-08-18T14:50:00"/>
    <d v="2026-08-18T15:06:00"/>
    <d v="2026-08-18T15:33:00"/>
    <d v="2026-08-18T16:33:00"/>
    <d v="2026-08-18T16:37:00"/>
    <d v="1899-12-30T01:47:00"/>
    <n v="2594.75"/>
    <x v="1"/>
    <s v="Pooja"/>
    <x v="2"/>
    <s v="3"/>
    <x v="0"/>
    <s v="Rahul"/>
    <x v="8"/>
  </r>
  <r>
    <s v="ORD-1127"/>
    <x v="2"/>
    <d v="1899-12-30T13:00:00"/>
    <n v="4"/>
    <d v="2026-08-26T13:00:00"/>
    <d v="2026-08-26T13:13:00"/>
    <d v="2026-08-26T13:37:00"/>
    <d v="2026-08-26T14:31:00"/>
    <d v="2026-08-26T14:40:00"/>
    <d v="1899-12-30T01:40:00"/>
    <n v="1085.21"/>
    <x v="2"/>
    <s v="Priya"/>
    <x v="1"/>
    <s v="3"/>
    <x v="0"/>
    <s v="Nikita"/>
    <x v="15"/>
  </r>
  <r>
    <s v="ORD-1128"/>
    <x v="0"/>
    <d v="1899-12-30T14:05:00"/>
    <n v="4"/>
    <d v="2026-08-21T14:05:00"/>
    <d v="2026-08-21T14:16:00"/>
    <d v="2026-08-21T14:51:00"/>
    <d v="2026-08-21T15:39:00"/>
    <d v="2026-08-21T15:47:00"/>
    <d v="1899-12-30T01:42:00"/>
    <n v="1318.54"/>
    <x v="0"/>
    <s v="Pooja"/>
    <x v="0"/>
    <s v="3"/>
    <x v="2"/>
    <s v="Rohit"/>
    <x v="11"/>
  </r>
  <r>
    <s v="ORD-1129"/>
    <x v="2"/>
    <d v="1899-12-30T12:30:00"/>
    <n v="2"/>
    <d v="2026-08-26T12:30:00"/>
    <d v="2026-08-26T12:44:00"/>
    <d v="2026-08-26T13:22:00"/>
    <d v="2026-08-26T13:53:00"/>
    <d v="2026-08-26T14:03:00"/>
    <d v="1899-12-30T01:33:00"/>
    <n v="1444.81"/>
    <x v="1"/>
    <s v="Neha"/>
    <x v="1"/>
    <m/>
    <x v="1"/>
    <s v="Rohit"/>
    <x v="11"/>
  </r>
  <r>
    <s v="ORD-1130"/>
    <x v="23"/>
    <d v="1899-12-30T20:30:00"/>
    <n v="2"/>
    <d v="2026-08-15T20:30:00"/>
    <d v="2026-08-15T20:40:00"/>
    <d v="2026-08-15T21:06:00"/>
    <d v="2026-08-15T21:28:00"/>
    <d v="2026-08-15T21:41:00"/>
    <d v="1899-12-30T01:11:00"/>
    <n v="1113.0899999999999"/>
    <x v="2"/>
    <s v="Vikram"/>
    <x v="1"/>
    <m/>
    <x v="0"/>
    <s v="Sneha"/>
    <x v="8"/>
  </r>
  <r>
    <s v="ORD-1131"/>
    <x v="27"/>
    <d v="1899-12-30T20:25:00"/>
    <n v="7"/>
    <d v="2026-08-22T20:25:00"/>
    <d v="2026-08-22T20:30:00"/>
    <d v="2026-08-22T20:46:00"/>
    <d v="2026-08-22T21:44:00"/>
    <d v="2026-08-22T21:56:00"/>
    <d v="1899-12-30T01:31:00"/>
    <n v="1137.1400000000001"/>
    <x v="1"/>
    <s v="Rohan"/>
    <x v="2"/>
    <s v="2"/>
    <x v="2"/>
    <s v="Neha"/>
    <x v="13"/>
  </r>
  <r>
    <s v="ORD-1132"/>
    <x v="30"/>
    <d v="1899-12-30T18:45:00"/>
    <n v="1"/>
    <d v="2026-08-12T18:45:00"/>
    <d v="2026-08-12T18:52:00"/>
    <d v="2026-08-12T19:25:00"/>
    <d v="2026-08-12T20:13:00"/>
    <d v="2026-08-12T20:20:00"/>
    <d v="1899-12-30T01:35:00"/>
    <n v="1307.71"/>
    <x v="1"/>
    <s v="Rohan"/>
    <x v="1"/>
    <s v="4"/>
    <x v="1"/>
    <s v="Vivek"/>
    <x v="5"/>
  </r>
  <r>
    <s v="ORD-1133"/>
    <x v="10"/>
    <d v="1899-12-30T13:05:00"/>
    <n v="1"/>
    <d v="2026-08-09T13:05:00"/>
    <d v="2026-08-09T13:17:00"/>
    <d v="2026-08-09T13:45:00"/>
    <d v="2026-08-09T14:29:00"/>
    <d v="2026-08-09T14:39:00"/>
    <d v="1899-12-30T01:34:00"/>
    <n v="685.73"/>
    <x v="2"/>
    <s v="Pooja"/>
    <x v="3"/>
    <s v="5"/>
    <x v="1"/>
    <s v="Megha"/>
    <x v="13"/>
  </r>
  <r>
    <s v="ORD-1134"/>
    <x v="13"/>
    <d v="1899-12-30T22:15:00"/>
    <n v="2"/>
    <d v="2026-08-30T22:15:00"/>
    <d v="2026-08-30T22:33:00"/>
    <d v="2026-08-30T22:47:00"/>
    <d v="2026-08-30T23:35:00"/>
    <d v="2026-08-30T23:39:00"/>
    <d v="1899-12-30T01:24:00"/>
    <n v="1650.48"/>
    <x v="1"/>
    <s v="Neha"/>
    <x v="1"/>
    <m/>
    <x v="1"/>
    <s v="Megha"/>
    <x v="7"/>
  </r>
  <r>
    <s v="ORD-1135"/>
    <x v="12"/>
    <d v="1899-12-30T19:20:00"/>
    <n v="4"/>
    <d v="2026-08-03T19:20:00"/>
    <d v="2026-08-03T19:36:00"/>
    <d v="2026-08-03T20:10:00"/>
    <d v="2026-08-03T21:14:00"/>
    <d v="2026-08-03T21:26:00"/>
    <d v="1899-12-30T02:06:00"/>
    <n v="1124.32"/>
    <x v="2"/>
    <s v="Priya"/>
    <x v="2"/>
    <s v="2"/>
    <x v="0"/>
    <s v="Rahul"/>
    <x v="13"/>
  </r>
  <r>
    <s v="ORD-1136"/>
    <x v="2"/>
    <d v="1899-12-30T19:25:00"/>
    <n v="7"/>
    <d v="2026-08-26T19:25:00"/>
    <d v="2026-08-26T19:35:00"/>
    <d v="2026-08-26T20:01:00"/>
    <d v="2026-08-26T20:56:00"/>
    <d v="2026-08-26T21:00:00"/>
    <d v="1899-12-30T01:35:00"/>
    <n v="2842.46"/>
    <x v="1"/>
    <s v="Neha"/>
    <x v="1"/>
    <s v="4"/>
    <x v="2"/>
    <s v="Megha"/>
    <x v="17"/>
  </r>
  <r>
    <s v="ORD-1137"/>
    <x v="21"/>
    <d v="1899-12-30T19:30:00"/>
    <n v="8"/>
    <d v="2026-08-16T19:30:00"/>
    <d v="2026-08-16T19:37:00"/>
    <d v="2026-08-16T19:59:00"/>
    <d v="2026-08-16T21:00:00"/>
    <d v="2026-08-16T21:03:00"/>
    <d v="1899-12-30T01:33:00"/>
    <n v="1679.21"/>
    <x v="2"/>
    <s v="Sneha"/>
    <x v="3"/>
    <m/>
    <x v="2"/>
    <s v="Vivek"/>
    <x v="9"/>
  </r>
  <r>
    <s v="ORD-1138"/>
    <x v="16"/>
    <d v="1899-12-30T13:10:00"/>
    <n v="5"/>
    <d v="2026-08-19T13:10:00"/>
    <d v="2026-08-19T13:28:00"/>
    <d v="2026-08-19T13:41:00"/>
    <d v="2026-08-19T14:08:00"/>
    <d v="2026-08-19T14:18:00"/>
    <d v="1899-12-30T01:08:00"/>
    <n v="1572.87"/>
    <x v="0"/>
    <s v="Rohan"/>
    <x v="1"/>
    <m/>
    <x v="0"/>
    <s v="Neha"/>
    <x v="16"/>
  </r>
  <r>
    <s v="ORD-1139"/>
    <x v="11"/>
    <d v="1899-12-30T22:20:00"/>
    <n v="2"/>
    <d v="2026-08-31T22:20:00"/>
    <d v="2026-08-31T22:28:00"/>
    <d v="2026-08-31T23:00:00"/>
    <d v="2026-08-31T23:55:00"/>
    <d v="2026-09-01T00:01:00"/>
    <d v="1899-12-30T01:41:00"/>
    <n v="1837.43"/>
    <x v="2"/>
    <s v="Neha"/>
    <x v="3"/>
    <s v="5"/>
    <x v="2"/>
    <s v="Amit"/>
    <x v="2"/>
  </r>
  <r>
    <s v="ORD-1140"/>
    <x v="28"/>
    <d v="1899-12-30T20:55:00"/>
    <n v="8"/>
    <d v="2026-08-06T20:55:00"/>
    <d v="2026-08-06T21:13:00"/>
    <d v="2026-08-06T21:43:00"/>
    <d v="2026-08-06T22:05:00"/>
    <d v="2026-08-06T22:20:00"/>
    <d v="1899-12-30T01:25:00"/>
    <n v="1433.02"/>
    <x v="1"/>
    <s v="Amit"/>
    <x v="1"/>
    <m/>
    <x v="0"/>
    <s v="Sagar"/>
    <x v="12"/>
  </r>
  <r>
    <s v="ORD-1141"/>
    <x v="16"/>
    <d v="1899-12-30T18:50:00"/>
    <n v="1"/>
    <d v="2026-08-19T18:50:00"/>
    <d v="2026-08-19T19:05:00"/>
    <d v="2026-08-19T19:34:00"/>
    <d v="2026-08-19T20:12:00"/>
    <d v="2026-08-19T20:24:00"/>
    <d v="1899-12-30T01:34:00"/>
    <n v="1395.1"/>
    <x v="1"/>
    <s v="Priya"/>
    <x v="0"/>
    <s v="3"/>
    <x v="1"/>
    <s v="Sneha"/>
    <x v="18"/>
  </r>
  <r>
    <s v="ORD-1142"/>
    <x v="5"/>
    <d v="1899-12-30T12:35:00"/>
    <n v="5"/>
    <d v="2026-08-23T12:35:00"/>
    <d v="2026-08-23T12:47:00"/>
    <d v="2026-08-23T13:05:00"/>
    <d v="2026-08-23T13:46:00"/>
    <d v="2026-08-23T13:57:00"/>
    <d v="1899-12-30T01:22:00"/>
    <n v="2468.9299999999998"/>
    <x v="2"/>
    <s v="Sneha"/>
    <x v="1"/>
    <s v="4"/>
    <x v="0"/>
    <s v="Sagar"/>
    <x v="18"/>
  </r>
  <r>
    <s v="ORD-1143"/>
    <x v="30"/>
    <d v="1899-12-30T19:05:00"/>
    <n v="4"/>
    <d v="2026-08-12T19:05:00"/>
    <d v="2026-08-12T19:17:00"/>
    <d v="2026-08-12T19:32:00"/>
    <d v="2026-08-12T20:09:00"/>
    <d v="2026-08-12T20:18:00"/>
    <d v="1899-12-30T01:13:00"/>
    <n v="745.88"/>
    <x v="1"/>
    <s v="Amit"/>
    <x v="1"/>
    <s v="4"/>
    <x v="2"/>
    <s v="Kunal"/>
    <x v="0"/>
  </r>
  <r>
    <s v="ORD-1144"/>
    <x v="6"/>
    <d v="1899-12-30T22:10:00"/>
    <n v="4"/>
    <d v="2026-08-08T22:10:00"/>
    <d v="2026-08-08T22:26:00"/>
    <d v="2026-08-08T22:48:00"/>
    <d v="2026-08-08T23:20:00"/>
    <d v="2026-08-08T23:34:00"/>
    <d v="1899-12-30T01:24:00"/>
    <n v="1731.55"/>
    <x v="0"/>
    <s v="Pooja"/>
    <x v="0"/>
    <s v="3"/>
    <x v="1"/>
    <s v="Rahul"/>
    <x v="17"/>
  </r>
  <r>
    <s v="ORD-1145"/>
    <x v="12"/>
    <d v="1899-12-30T22:40:00"/>
    <n v="6"/>
    <d v="2026-08-03T22:40:00"/>
    <d v="2026-08-03T22:48:00"/>
    <d v="2026-08-03T23:18:00"/>
    <m/>
    <m/>
    <s v=" "/>
    <n v="1811.65"/>
    <x v="1"/>
    <s v="Pooja"/>
    <x v="1"/>
    <s v="5"/>
    <x v="0"/>
    <s v="Nikita"/>
    <x v="0"/>
  </r>
  <r>
    <s v="ORD-1146"/>
    <x v="25"/>
    <d v="1899-12-30T19:20:00"/>
    <n v="4"/>
    <d v="2026-08-04T19:20:00"/>
    <d v="2026-08-04T19:30:00"/>
    <d v="2026-08-04T19:43:00"/>
    <d v="2026-08-04T20:28:00"/>
    <d v="2026-08-04T20:30:00"/>
    <d v="1899-12-30T01:10:00"/>
    <n v="2060"/>
    <x v="0"/>
    <s v="Sneha"/>
    <x v="1"/>
    <s v="1"/>
    <x v="1"/>
    <s v="Akshay"/>
    <x v="3"/>
  </r>
  <r>
    <s v="ORD-1147"/>
    <x v="23"/>
    <d v="1899-12-30T20:20:00"/>
    <n v="8"/>
    <d v="2026-08-15T20:20:00"/>
    <d v="2026-08-15T20:26:00"/>
    <d v="2026-08-15T20:42:00"/>
    <d v="2026-08-15T21:08:00"/>
    <d v="2026-08-15T21:16:00"/>
    <d v="1899-12-30T00:56:00"/>
    <n v="1429.68"/>
    <x v="2"/>
    <s v="Sneha"/>
    <x v="3"/>
    <s v="2"/>
    <x v="2"/>
    <s v="Akshay"/>
    <x v="5"/>
  </r>
  <r>
    <s v="ORD-1148"/>
    <x v="19"/>
    <d v="1899-12-30T19:00:00"/>
    <n v="1"/>
    <d v="2026-08-13T19:00:00"/>
    <d v="2026-08-13T19:16:00"/>
    <d v="2026-08-13T19:38:00"/>
    <d v="2026-08-13T20:28:00"/>
    <d v="2026-08-13T20:38:00"/>
    <d v="1899-12-30T01:38:00"/>
    <n v="543.75"/>
    <x v="0"/>
    <s v="Rohan"/>
    <x v="1"/>
    <s v="5"/>
    <x v="1"/>
    <s v="Amit"/>
    <x v="7"/>
  </r>
  <r>
    <s v="ORD-1149"/>
    <x v="19"/>
    <d v="1899-12-30T22:55:00"/>
    <n v="4"/>
    <d v="2026-08-13T22:55:00"/>
    <d v="2026-08-13T23:05:00"/>
    <d v="2026-08-13T23:33:00"/>
    <d v="2026-08-14T00:25:00"/>
    <d v="2026-08-14T00:35:00"/>
    <d v="1899-12-30T01:40:00"/>
    <n v="1917.07"/>
    <x v="0"/>
    <s v="Sahil"/>
    <x v="0"/>
    <m/>
    <x v="0"/>
    <s v="Neha"/>
    <x v="17"/>
  </r>
  <r>
    <s v="ORD-1150"/>
    <x v="20"/>
    <d v="1899-12-30T20:30:00"/>
    <n v="8"/>
    <d v="2026-08-11T20:30:00"/>
    <d v="2026-08-11T20:47:00"/>
    <d v="2026-08-11T21:22:00"/>
    <d v="2026-08-11T22:26:00"/>
    <d v="2026-08-11T22:38:00"/>
    <d v="1899-12-30T02:08:00"/>
    <n v="2046.01"/>
    <x v="1"/>
    <s v="Sahil"/>
    <x v="3"/>
    <m/>
    <x v="0"/>
    <s v="Anjali"/>
    <x v="15"/>
  </r>
  <r>
    <s v="ORD-1151"/>
    <x v="21"/>
    <d v="1899-12-30T13:50:00"/>
    <n v="8"/>
    <d v="2026-08-16T13:50:00"/>
    <d v="2026-08-16T13:57:00"/>
    <d v="2026-08-16T14:35:00"/>
    <d v="2026-08-16T15:38:00"/>
    <d v="2026-08-16T15:43:00"/>
    <d v="1899-12-30T01:53:00"/>
    <n v="2022.99"/>
    <x v="2"/>
    <s v="Neha"/>
    <x v="3"/>
    <s v="1"/>
    <x v="1"/>
    <s v="Neha"/>
    <x v="3"/>
  </r>
  <r>
    <s v="ORD-1152"/>
    <x v="14"/>
    <d v="1899-12-30T13:55:00"/>
    <n v="3"/>
    <d v="2026-08-14T13:55:00"/>
    <d v="2026-08-14T14:08:00"/>
    <d v="2026-08-14T14:44:00"/>
    <d v="2026-08-14T15:43:00"/>
    <d v="2026-08-14T15:52:00"/>
    <d v="1899-12-30T01:57:00"/>
    <n v="1700.55"/>
    <x v="2"/>
    <s v="Amit"/>
    <x v="3"/>
    <s v="5"/>
    <x v="0"/>
    <s v="Akshay"/>
    <x v="11"/>
  </r>
  <r>
    <s v="ORD-1153"/>
    <x v="20"/>
    <d v="1899-12-30T22:35:00"/>
    <n v="7"/>
    <d v="2026-08-11T22:35:00"/>
    <d v="2026-08-11T22:45:00"/>
    <d v="2026-08-11T23:02:00"/>
    <d v="2026-08-11T23:51:00"/>
    <d v="2026-08-12T00:01:00"/>
    <d v="1899-12-30T01:26:00"/>
    <n v="1615.99"/>
    <x v="2"/>
    <s v="Sahil"/>
    <x v="0"/>
    <s v="2"/>
    <x v="0"/>
    <s v="Rohit"/>
    <x v="3"/>
  </r>
  <r>
    <s v="ORD-1154"/>
    <x v="15"/>
    <d v="1899-12-30T14:20:00"/>
    <n v="4"/>
    <d v="2026-08-18T14:20:00"/>
    <d v="2026-08-18T14:36:00"/>
    <d v="2026-08-18T15:10:00"/>
    <d v="2026-08-18T16:01:00"/>
    <d v="2026-08-18T16:08:00"/>
    <d v="1899-12-30T01:48:00"/>
    <n v="1757.74"/>
    <x v="0"/>
    <s v="Sahil"/>
    <x v="1"/>
    <s v="1"/>
    <x v="2"/>
    <s v="Vivek"/>
    <x v="10"/>
  </r>
  <r>
    <s v="ORD-1155"/>
    <x v="15"/>
    <d v="1899-12-30T18:30:00"/>
    <n v="4"/>
    <d v="2026-08-18T18:30:00"/>
    <d v="2026-08-18T18:39:00"/>
    <d v="2026-08-18T18:52:00"/>
    <d v="2026-08-18T19:30:00"/>
    <d v="2026-08-18T19:43:00"/>
    <d v="1899-12-30T01:13:00"/>
    <n v="1612.07"/>
    <x v="1"/>
    <s v="Sahil"/>
    <x v="0"/>
    <s v="2"/>
    <x v="0"/>
    <s v="Nikita"/>
    <x v="7"/>
  </r>
  <r>
    <s v="ORD-1156"/>
    <x v="15"/>
    <d v="1899-12-30T14:40:00"/>
    <n v="4"/>
    <d v="2026-08-18T14:40:00"/>
    <d v="2026-08-18T14:46:00"/>
    <d v="2026-08-18T15:17:00"/>
    <d v="2026-08-18T16:14:00"/>
    <d v="2026-08-18T16:19:00"/>
    <d v="1899-12-30T01:39:00"/>
    <n v="1237.1099999999999"/>
    <x v="2"/>
    <s v="Priya"/>
    <x v="3"/>
    <s v="1"/>
    <x v="0"/>
    <s v="Kunal"/>
    <x v="7"/>
  </r>
  <r>
    <s v="ORD-1157"/>
    <x v="20"/>
    <d v="1899-12-30T20:05:00"/>
    <n v="2"/>
    <d v="2026-08-11T20:05:00"/>
    <d v="2026-08-11T20:18:00"/>
    <d v="2026-08-11T20:35:00"/>
    <d v="2026-08-11T21:21:00"/>
    <d v="2026-08-11T21:33:00"/>
    <d v="1899-12-30T01:28:00"/>
    <n v="2416.1799999999998"/>
    <x v="1"/>
    <s v="Pooja"/>
    <x v="3"/>
    <m/>
    <x v="1"/>
    <s v="Neha"/>
    <x v="19"/>
  </r>
  <r>
    <s v="ORD-1158"/>
    <x v="26"/>
    <d v="1899-12-30T20:05:00"/>
    <n v="8"/>
    <d v="2026-08-10T20:05:00"/>
    <d v="2026-08-10T20:18:00"/>
    <d v="2026-08-10T20:53:00"/>
    <d v="2026-08-10T21:15:00"/>
    <d v="2026-08-10T21:19:00"/>
    <d v="1899-12-30T01:14:00"/>
    <n v="2370.61"/>
    <x v="0"/>
    <s v="Amit"/>
    <x v="0"/>
    <m/>
    <x v="1"/>
    <s v="Amit"/>
    <x v="0"/>
  </r>
  <r>
    <s v="ORD-1159"/>
    <x v="13"/>
    <d v="1899-12-30T20:20:00"/>
    <n v="1"/>
    <d v="2026-08-30T20:20:00"/>
    <d v="2026-08-30T20:29:00"/>
    <d v="2026-08-30T20:59:00"/>
    <d v="2026-08-30T21:57:00"/>
    <d v="2026-08-30T22:00:00"/>
    <d v="1899-12-30T01:40:00"/>
    <n v="614.78"/>
    <x v="2"/>
    <s v="Sahil"/>
    <x v="0"/>
    <m/>
    <x v="2"/>
    <s v="Akshay"/>
    <x v="19"/>
  </r>
  <r>
    <s v="ORD-1160"/>
    <x v="21"/>
    <d v="1899-12-30T21:10:00"/>
    <n v="7"/>
    <d v="2026-08-16T21:10:00"/>
    <d v="2026-08-16T21:19:00"/>
    <d v="2026-08-16T21:37:00"/>
    <d v="2026-08-16T22:04:00"/>
    <d v="2026-08-16T22:11:00"/>
    <d v="1899-12-30T01:01:00"/>
    <n v="2351.1"/>
    <x v="1"/>
    <s v="Sahil"/>
    <x v="3"/>
    <s v="1"/>
    <x v="2"/>
    <s v="Neha"/>
    <x v="8"/>
  </r>
  <r>
    <s v="ORD-1161"/>
    <x v="2"/>
    <d v="1899-12-30T14:50:00"/>
    <n v="3"/>
    <d v="2026-08-26T14:50:00"/>
    <d v="2026-08-26T15:04:00"/>
    <d v="2026-08-26T15:36:00"/>
    <d v="2026-08-26T16:21:00"/>
    <d v="2026-08-26T16:36:00"/>
    <d v="1899-12-30T01:46:00"/>
    <n v="973.93"/>
    <x v="2"/>
    <s v="Neha"/>
    <x v="0"/>
    <m/>
    <x v="0"/>
    <s v="Amit"/>
    <x v="13"/>
  </r>
  <r>
    <s v="ORD-1162"/>
    <x v="17"/>
    <d v="1899-12-30T19:15:00"/>
    <n v="1"/>
    <d v="2026-08-05T19:15:00"/>
    <d v="2026-08-05T19:26:00"/>
    <m/>
    <d v="2026-08-05T20:33:00"/>
    <d v="2026-08-05T20:47:00"/>
    <d v="1899-12-30T01:32:00"/>
    <n v="1702.9"/>
    <x v="2"/>
    <s v="Sahil"/>
    <x v="2"/>
    <s v="3"/>
    <x v="2"/>
    <s v="Neha"/>
    <x v="2"/>
  </r>
  <r>
    <s v="ORD-1163"/>
    <x v="5"/>
    <d v="1899-12-30T13:50:00"/>
    <n v="2"/>
    <d v="2026-08-23T13:50:00"/>
    <d v="2026-08-23T13:59:00"/>
    <d v="2026-08-23T14:16:00"/>
    <d v="2026-08-23T15:01:00"/>
    <d v="2026-08-23T15:13:00"/>
    <d v="1899-12-30T01:23:00"/>
    <n v="2027.23"/>
    <x v="2"/>
    <s v="Sahil"/>
    <x v="2"/>
    <m/>
    <x v="1"/>
    <s v="Neha"/>
    <x v="8"/>
  </r>
  <r>
    <s v="ORD-1164"/>
    <x v="24"/>
    <d v="1899-12-30T13:10:00"/>
    <n v="6"/>
    <d v="2026-08-20T13:10:00"/>
    <d v="2026-08-20T13:22:00"/>
    <d v="2026-08-20T13:57:00"/>
    <d v="2026-08-20T14:55:00"/>
    <d v="2026-08-20T15:02:00"/>
    <d v="1899-12-30T01:52:00"/>
    <n v="1418.62"/>
    <x v="0"/>
    <s v="Pooja"/>
    <x v="3"/>
    <m/>
    <x v="0"/>
    <s v="Vivek"/>
    <x v="7"/>
  </r>
  <r>
    <s v="ORD-1165"/>
    <x v="4"/>
    <d v="1899-12-30T20:05:00"/>
    <n v="7"/>
    <d v="2026-08-25T20:05:00"/>
    <d v="2026-08-25T20:18:00"/>
    <d v="2026-08-25T20:52:00"/>
    <d v="2026-08-25T21:35:00"/>
    <d v="2026-08-25T21:38:00"/>
    <d v="1899-12-30T01:33:00"/>
    <n v="2519.86"/>
    <x v="1"/>
    <s v="Amit"/>
    <x v="3"/>
    <s v="5"/>
    <x v="2"/>
    <s v="Amit"/>
    <x v="8"/>
  </r>
  <r>
    <s v="ORD-1166"/>
    <x v="28"/>
    <d v="1899-12-30T14:40:00"/>
    <n v="6"/>
    <d v="2026-08-06T14:40:00"/>
    <d v="2026-08-06T14:55:00"/>
    <d v="2026-08-06T15:13:00"/>
    <d v="2026-08-06T16:18:00"/>
    <d v="2026-08-06T16:29:00"/>
    <d v="1899-12-30T01:49:00"/>
    <n v="2097.0300000000002"/>
    <x v="0"/>
    <s v="Pooja"/>
    <x v="2"/>
    <s v="4"/>
    <x v="0"/>
    <s v="Akshay"/>
    <x v="4"/>
  </r>
  <r>
    <s v="ORD-1167"/>
    <x v="14"/>
    <d v="1899-12-30T19:00:00"/>
    <n v="7"/>
    <d v="2026-08-14T19:00:00"/>
    <d v="2026-08-14T19:15:00"/>
    <d v="2026-08-14T19:52:00"/>
    <d v="2026-08-14T20:31:00"/>
    <d v="2026-08-14T20:44:00"/>
    <d v="1899-12-30T01:44:00"/>
    <n v="2197.92"/>
    <x v="2"/>
    <s v="Amit"/>
    <x v="3"/>
    <s v="5"/>
    <x v="0"/>
    <s v="Rahul"/>
    <x v="8"/>
  </r>
  <r>
    <s v="ORD-1168"/>
    <x v="14"/>
    <d v="1899-12-30T14:05:00"/>
    <n v="7"/>
    <d v="2026-08-14T14:05:00"/>
    <d v="2026-08-14T14:11:00"/>
    <d v="2026-08-14T14:38:00"/>
    <d v="2026-08-14T15:00:00"/>
    <d v="2026-08-14T15:06:00"/>
    <d v="1899-12-30T01:01:00"/>
    <n v="3033.24"/>
    <x v="0"/>
    <s v="Vikram"/>
    <x v="1"/>
    <s v="4"/>
    <x v="1"/>
    <s v="Nikita"/>
    <x v="6"/>
  </r>
  <r>
    <s v="ORD-1169"/>
    <x v="13"/>
    <d v="1899-12-30T21:30:00"/>
    <n v="2"/>
    <d v="2026-08-30T21:30:00"/>
    <d v="2026-08-30T21:37:00"/>
    <d v="2026-08-30T22:09:00"/>
    <d v="2026-08-30T22:51:00"/>
    <d v="2026-08-30T22:54:00"/>
    <d v="1899-12-30T01:24:00"/>
    <n v="1255.04"/>
    <x v="0"/>
    <s v="Vikram"/>
    <x v="3"/>
    <m/>
    <x v="0"/>
    <s v="Nikita"/>
    <x v="1"/>
  </r>
  <r>
    <s v="ORD-1170"/>
    <x v="22"/>
    <d v="1899-12-30T20:20:00"/>
    <n v="6"/>
    <d v="2026-08-01T20:20:00"/>
    <d v="2026-08-01T20:31:00"/>
    <d v="2026-08-01T21:00:00"/>
    <d v="2026-08-01T21:44:00"/>
    <d v="2026-08-01T21:59:00"/>
    <d v="1899-12-30T01:39:00"/>
    <n v="1455.45"/>
    <x v="1"/>
    <s v="Sneha"/>
    <x v="3"/>
    <s v="3"/>
    <x v="0"/>
    <s v="Megha"/>
    <x v="1"/>
  </r>
  <r>
    <s v="ORD-1171"/>
    <x v="4"/>
    <d v="1899-12-30T12:50:00"/>
    <n v="5"/>
    <d v="2026-08-25T12:50:00"/>
    <d v="2026-08-25T13:07:00"/>
    <d v="2026-08-25T13:19:00"/>
    <d v="2026-08-25T13:54:00"/>
    <d v="2026-08-25T13:59:00"/>
    <d v="1899-12-30T01:09:00"/>
    <n v="1134.69"/>
    <x v="0"/>
    <s v="Amit"/>
    <x v="0"/>
    <s v="5"/>
    <x v="2"/>
    <s v="Megha"/>
    <x v="5"/>
  </r>
  <r>
    <s v="ORD-1172"/>
    <x v="9"/>
    <d v="1899-12-30T11:55:00"/>
    <n v="1"/>
    <d v="2026-08-28T11:55:00"/>
    <d v="2026-08-28T12:07:00"/>
    <d v="2026-08-28T12:26:00"/>
    <d v="2026-08-28T13:20:00"/>
    <d v="2026-08-28T13:25:00"/>
    <d v="1899-12-30T01:30:00"/>
    <n v="821.3"/>
    <x v="1"/>
    <s v="Rohan"/>
    <x v="1"/>
    <s v="2"/>
    <x v="2"/>
    <s v="Anjali"/>
    <x v="3"/>
  </r>
  <r>
    <s v="ORD-1173"/>
    <x v="20"/>
    <d v="1899-12-30T19:50:00"/>
    <n v="4"/>
    <d v="2026-08-11T19:50:00"/>
    <d v="2026-08-11T19:59:00"/>
    <d v="2026-08-11T20:15:00"/>
    <d v="2026-08-11T21:17:00"/>
    <d v="2026-08-11T21:27:00"/>
    <d v="1899-12-30T01:37:00"/>
    <n v="1587.59"/>
    <x v="2"/>
    <s v="Sahil"/>
    <x v="2"/>
    <s v="5"/>
    <x v="2"/>
    <s v="Megha"/>
    <x v="0"/>
  </r>
  <r>
    <s v="ORD-1174"/>
    <x v="13"/>
    <d v="1899-12-30T13:50:00"/>
    <n v="5"/>
    <d v="2026-08-30T13:50:00"/>
    <d v="2026-08-30T14:02:00"/>
    <d v="2026-08-30T14:15:00"/>
    <d v="2026-08-30T14:57:00"/>
    <d v="2026-08-30T15:09:00"/>
    <d v="1899-12-30T01:19:00"/>
    <n v="1937.63"/>
    <x v="0"/>
    <s v="Sneha"/>
    <x v="0"/>
    <s v="4"/>
    <x v="0"/>
    <s v="Rohit"/>
    <x v="1"/>
  </r>
  <r>
    <s v="ORD-1175"/>
    <x v="19"/>
    <d v="1899-12-30T13:40:00"/>
    <n v="6"/>
    <d v="2026-08-13T13:40:00"/>
    <d v="2026-08-13T13:58:00"/>
    <d v="2026-08-13T14:17:00"/>
    <d v="2026-08-13T14:56:00"/>
    <d v="2026-08-13T15:11:00"/>
    <d v="1899-12-30T01:31:00"/>
    <n v="2022.18"/>
    <x v="1"/>
    <s v="Amit"/>
    <x v="0"/>
    <s v="4"/>
    <x v="2"/>
    <s v="Akshay"/>
    <x v="0"/>
  </r>
  <r>
    <s v="ORD-1176"/>
    <x v="17"/>
    <d v="1899-12-30T18:20:00"/>
    <n v="3"/>
    <d v="2026-08-05T18:20:00"/>
    <d v="2026-08-05T18:35:00"/>
    <d v="2026-08-05T18:49:00"/>
    <d v="2026-08-05T19:37:00"/>
    <d v="2026-08-05T19:52:00"/>
    <d v="1899-12-30T01:32:00"/>
    <n v="1964.95"/>
    <x v="0"/>
    <s v="Priya"/>
    <x v="2"/>
    <s v="3"/>
    <x v="1"/>
    <s v="Vivek"/>
    <x v="12"/>
  </r>
  <r>
    <s v="ORD-1177"/>
    <x v="24"/>
    <d v="1899-12-30T20:05:00"/>
    <n v="3"/>
    <d v="2026-08-20T20:05:00"/>
    <d v="2026-08-20T20:21:00"/>
    <d v="2026-08-20T20:54:00"/>
    <d v="2026-08-20T21:49:00"/>
    <d v="2026-08-20T21:54:00"/>
    <d v="1899-12-30T01:49:00"/>
    <n v="1517.15"/>
    <x v="2"/>
    <s v="Sahil"/>
    <x v="2"/>
    <s v="2"/>
    <x v="0"/>
    <s v="Megha"/>
    <x v="17"/>
  </r>
  <r>
    <s v="ORD-1178"/>
    <x v="25"/>
    <d v="1899-12-30T20:35:00"/>
    <n v="3"/>
    <d v="2026-08-04T20:35:00"/>
    <d v="2026-08-04T20:51:00"/>
    <d v="2026-08-04T21:09:00"/>
    <d v="2026-08-04T21:54:00"/>
    <d v="2026-08-04T21:59:00"/>
    <d v="1899-12-30T01:24:00"/>
    <n v="2309.44"/>
    <x v="2"/>
    <s v="Vikram"/>
    <x v="0"/>
    <s v="5"/>
    <x v="2"/>
    <s v="Unknown"/>
    <x v="5"/>
  </r>
  <r>
    <s v="ORD-1179"/>
    <x v="26"/>
    <d v="1899-12-30T13:40:00"/>
    <n v="6"/>
    <d v="2026-08-10T13:40:00"/>
    <d v="2026-08-10T13:46:00"/>
    <d v="2026-08-10T14:23:00"/>
    <d v="2026-08-10T15:13:00"/>
    <d v="2026-08-10T15:27:00"/>
    <d v="1899-12-30T01:47:00"/>
    <n v="1724.44"/>
    <x v="0"/>
    <s v="Sneha"/>
    <x v="1"/>
    <s v="4"/>
    <x v="0"/>
    <s v="Anjali"/>
    <x v="8"/>
  </r>
  <r>
    <s v="ORD-1180"/>
    <x v="9"/>
    <d v="1899-12-30T13:10:00"/>
    <n v="1"/>
    <d v="2026-08-28T13:10:00"/>
    <d v="2026-08-28T13:23:00"/>
    <d v="2026-08-28T13:53:00"/>
    <d v="2026-08-28T14:50:00"/>
    <d v="2026-08-28T15:03:00"/>
    <d v="1899-12-30T01:53:00"/>
    <n v="2766.09"/>
    <x v="0"/>
    <s v="Priya"/>
    <x v="1"/>
    <s v="2"/>
    <x v="1"/>
    <s v="Anjali"/>
    <x v="2"/>
  </r>
  <r>
    <s v="ORD-1181"/>
    <x v="29"/>
    <d v="1899-12-30T13:40:00"/>
    <n v="4"/>
    <d v="2026-08-27T13:40:00"/>
    <d v="2026-08-27T13:57:00"/>
    <d v="2026-08-27T14:35:00"/>
    <d v="2026-08-27T15:26:00"/>
    <d v="2026-08-27T15:39:00"/>
    <d v="1899-12-30T01:59:00"/>
    <n v="1974.12"/>
    <x v="1"/>
    <s v="Pooja"/>
    <x v="3"/>
    <m/>
    <x v="1"/>
    <s v="Amit"/>
    <x v="2"/>
  </r>
  <r>
    <s v="ORD-1182"/>
    <x v="17"/>
    <d v="1899-12-30T20:35:00"/>
    <n v="2"/>
    <d v="2026-08-05T20:35:00"/>
    <d v="2026-08-05T20:50:00"/>
    <d v="2026-08-05T21:03:00"/>
    <d v="2026-08-05T21:56:00"/>
    <d v="2026-08-05T21:58:00"/>
    <d v="1899-12-30T01:23:00"/>
    <n v="918.56"/>
    <x v="1"/>
    <s v="Amit"/>
    <x v="2"/>
    <s v="4"/>
    <x v="0"/>
    <s v="Nikita"/>
    <x v="1"/>
  </r>
  <r>
    <s v="ORD-1183"/>
    <x v="0"/>
    <d v="1899-12-30T13:55:00"/>
    <n v="2"/>
    <d v="2026-08-21T13:55:00"/>
    <d v="2026-08-21T14:03:00"/>
    <d v="2026-08-21T14:31:00"/>
    <d v="2026-08-21T15:20:00"/>
    <d v="2026-08-21T15:27:00"/>
    <d v="1899-12-30T01:32:00"/>
    <n v="720.91"/>
    <x v="2"/>
    <s v="Pooja"/>
    <x v="0"/>
    <s v="1"/>
    <x v="0"/>
    <s v="Akshay"/>
    <x v="19"/>
  </r>
  <r>
    <s v="ORD-1184"/>
    <x v="15"/>
    <d v="1899-12-30T18:00:00"/>
    <n v="7"/>
    <d v="2026-08-18T18:00:00"/>
    <d v="2026-08-18T18:13:00"/>
    <d v="2026-08-18T18:34:00"/>
    <d v="2026-08-18T18:55:00"/>
    <d v="2026-08-18T19:05:00"/>
    <d v="1899-12-30T01:05:00"/>
    <n v="2255.36"/>
    <x v="2"/>
    <s v="Vikram"/>
    <x v="3"/>
    <s v="1"/>
    <x v="0"/>
    <s v="Akshay"/>
    <x v="2"/>
  </r>
  <r>
    <s v="ORD-1185"/>
    <x v="17"/>
    <d v="1899-12-30T13:45:00"/>
    <n v="7"/>
    <d v="2026-08-05T13:45:00"/>
    <d v="2026-08-05T14:03:00"/>
    <d v="2026-08-05T14:26:00"/>
    <d v="2026-08-05T15:03:00"/>
    <d v="2026-08-05T15:17:00"/>
    <d v="1899-12-30T01:32:00"/>
    <n v="1867.1"/>
    <x v="2"/>
    <s v="Vikram"/>
    <x v="0"/>
    <s v="5"/>
    <x v="0"/>
    <s v="Megha"/>
    <x v="2"/>
  </r>
  <r>
    <s v="ORD-1186"/>
    <x v="6"/>
    <d v="1899-12-30T14:05:00"/>
    <n v="1"/>
    <d v="2026-08-08T14:05:00"/>
    <d v="2026-08-08T14:16:00"/>
    <d v="2026-08-08T14:40:00"/>
    <d v="2026-08-08T15:24:00"/>
    <d v="2026-08-08T15:34:00"/>
    <d v="1899-12-30T01:29:00"/>
    <n v="1662.7"/>
    <x v="2"/>
    <s v="Amit"/>
    <x v="3"/>
    <s v="1"/>
    <x v="1"/>
    <s v="Nikita"/>
    <x v="9"/>
  </r>
  <r>
    <s v="ORD-1187"/>
    <x v="14"/>
    <d v="1899-12-30T20:25:00"/>
    <n v="8"/>
    <d v="2026-08-14T20:25:00"/>
    <d v="2026-08-14T20:38:00"/>
    <d v="2026-08-14T20:51:00"/>
    <d v="2026-08-14T21:25:00"/>
    <d v="2026-08-14T21:30:00"/>
    <d v="1899-12-30T01:05:00"/>
    <n v="2370.2800000000002"/>
    <x v="2"/>
    <s v="Pooja"/>
    <x v="1"/>
    <s v="1"/>
    <x v="0"/>
    <s v="Vivek"/>
    <x v="4"/>
  </r>
  <r>
    <s v="ORD-1188"/>
    <x v="13"/>
    <d v="1899-12-30T14:40:00"/>
    <n v="8"/>
    <d v="2026-08-30T14:40:00"/>
    <d v="2026-08-30T14:47:00"/>
    <d v="2026-08-30T15:09:00"/>
    <d v="2026-08-30T15:30:00"/>
    <d v="2026-08-30T15:35:00"/>
    <d v="1899-12-30T00:55:00"/>
    <n v="2069.94"/>
    <x v="2"/>
    <s v="Vikram"/>
    <x v="2"/>
    <s v="3"/>
    <x v="0"/>
    <s v="Anjali"/>
    <x v="6"/>
  </r>
  <r>
    <s v="ORD-1189"/>
    <x v="6"/>
    <d v="1899-12-30T19:30:00"/>
    <n v="7"/>
    <d v="2026-08-08T19:30:00"/>
    <d v="2026-08-08T19:41:00"/>
    <d v="2026-08-08T20:17:00"/>
    <d v="2026-08-08T20:45:00"/>
    <d v="2026-08-08T20:59:00"/>
    <d v="1899-12-30T01:29:00"/>
    <n v="1524.26"/>
    <x v="3"/>
    <s v="Neha"/>
    <x v="1"/>
    <s v="1"/>
    <x v="0"/>
    <s v="Kunal"/>
    <x v="12"/>
  </r>
  <r>
    <s v="ORD-1190"/>
    <x v="6"/>
    <d v="1899-12-30T21:25:00"/>
    <n v="8"/>
    <d v="2026-08-08T21:25:00"/>
    <d v="2026-08-08T21:39:00"/>
    <d v="2026-08-08T22:03:00"/>
    <d v="2026-08-08T22:43:00"/>
    <d v="2026-08-08T22:45:00"/>
    <d v="1899-12-30T01:20:00"/>
    <n v="1276.83"/>
    <x v="1"/>
    <s v="Pooja"/>
    <x v="3"/>
    <s v="3"/>
    <x v="2"/>
    <s v="Kunal"/>
    <x v="5"/>
  </r>
  <r>
    <s v="ORD-1191"/>
    <x v="14"/>
    <d v="1899-12-30T13:45:00"/>
    <n v="5"/>
    <d v="2026-08-14T13:45:00"/>
    <d v="2026-08-14T14:02:00"/>
    <d v="2026-08-14T14:33:00"/>
    <d v="2026-08-14T15:11:00"/>
    <d v="2026-08-14T15:25:00"/>
    <d v="1899-12-30T01:40:00"/>
    <n v="1504.42"/>
    <x v="1"/>
    <s v="Neha"/>
    <x v="1"/>
    <s v="2"/>
    <x v="1"/>
    <s v="Megha"/>
    <x v="9"/>
  </r>
  <r>
    <s v="ORD-1192"/>
    <x v="2"/>
    <d v="1899-12-30T20:55:00"/>
    <n v="5"/>
    <d v="2026-08-26T20:55:00"/>
    <d v="2026-08-26T21:05:00"/>
    <d v="2026-08-26T21:20:00"/>
    <d v="2026-08-26T21:45:00"/>
    <d v="2026-08-26T21:47:00"/>
    <d v="1899-12-30T00:52:00"/>
    <n v="2221.02"/>
    <x v="1"/>
    <s v="Sneha"/>
    <x v="1"/>
    <s v="1"/>
    <x v="0"/>
    <s v="Sneha"/>
    <x v="12"/>
  </r>
  <r>
    <s v="ORD-1193"/>
    <x v="28"/>
    <d v="1899-12-30T19:40:00"/>
    <n v="7"/>
    <d v="2026-08-06T19:40:00"/>
    <d v="2026-08-06T19:51:00"/>
    <d v="2026-08-06T20:06:00"/>
    <d v="2026-08-06T20:27:00"/>
    <d v="2026-08-06T20:30:00"/>
    <d v="1899-12-30T00:50:00"/>
    <n v="2107.75"/>
    <x v="1"/>
    <s v="Sneha"/>
    <x v="0"/>
    <s v="1"/>
    <x v="1"/>
    <s v="Kunal"/>
    <x v="16"/>
  </r>
  <r>
    <s v="ORD-1194"/>
    <x v="19"/>
    <d v="1899-12-30T21:55:00"/>
    <n v="7"/>
    <d v="2026-08-13T21:55:00"/>
    <d v="2026-08-13T22:09:00"/>
    <d v="2026-08-13T22:37:00"/>
    <d v="2026-08-13T23:07:00"/>
    <d v="2026-08-13T23:19:00"/>
    <d v="1899-12-30T01:24:00"/>
    <n v="1304.8399999999999"/>
    <x v="0"/>
    <s v="Sahil"/>
    <x v="1"/>
    <s v="3"/>
    <x v="1"/>
    <s v="Amit"/>
    <x v="0"/>
  </r>
  <r>
    <s v="ORD-1195"/>
    <x v="12"/>
    <d v="1899-12-30T13:20:00"/>
    <n v="5"/>
    <d v="2026-08-03T13:20:00"/>
    <d v="2026-08-03T13:32:00"/>
    <d v="2026-08-03T14:09:00"/>
    <d v="2026-08-03T14:33:00"/>
    <d v="2026-08-03T14:40:00"/>
    <d v="1899-12-30T01:20:00"/>
    <n v="1845.25"/>
    <x v="0"/>
    <s v="Pooja"/>
    <x v="3"/>
    <s v="4"/>
    <x v="0"/>
    <s v="Amit"/>
    <x v="15"/>
  </r>
  <r>
    <s v="ORD-1196"/>
    <x v="26"/>
    <d v="1899-12-30T11:30:00"/>
    <n v="4"/>
    <d v="2026-08-10T11:30:00"/>
    <d v="2026-08-10T11:41:00"/>
    <d v="2026-08-10T12:18:00"/>
    <d v="2026-08-10T12:59:00"/>
    <d v="2026-08-10T13:08:00"/>
    <d v="1899-12-30T01:38:00"/>
    <n v="1841.92"/>
    <x v="2"/>
    <s v="Rohan"/>
    <x v="1"/>
    <s v="3"/>
    <x v="2"/>
    <s v="Megha"/>
    <x v="5"/>
  </r>
  <r>
    <s v="ORD-1197"/>
    <x v="1"/>
    <d v="1899-12-30T19:10:00"/>
    <n v="5"/>
    <d v="2026-08-07T19:10:00"/>
    <d v="2026-08-07T19:19:00"/>
    <d v="2026-08-07T19:54:00"/>
    <d v="2026-08-07T20:58:00"/>
    <d v="2026-08-07T21:10:00"/>
    <d v="1899-12-30T02:00:00"/>
    <n v="1263.8800000000001"/>
    <x v="0"/>
    <s v="Priya"/>
    <x v="1"/>
    <s v="4"/>
    <x v="1"/>
    <s v="Nikita"/>
    <x v="12"/>
  </r>
  <r>
    <s v="ORD-1198"/>
    <x v="2"/>
    <d v="1899-12-30T18:05:00"/>
    <n v="8"/>
    <d v="2026-08-26T18:05:00"/>
    <d v="2026-08-26T18:19:00"/>
    <d v="2026-08-26T18:48:00"/>
    <d v="2026-08-26T19:19:00"/>
    <d v="2026-08-26T19:31:00"/>
    <d v="1899-12-30T01:26:00"/>
    <n v="2194.5500000000002"/>
    <x v="1"/>
    <s v="Pooja"/>
    <x v="3"/>
    <s v="4"/>
    <x v="1"/>
    <s v="Nikita"/>
    <x v="10"/>
  </r>
  <r>
    <s v="ORD-1199"/>
    <x v="5"/>
    <d v="1899-12-30T12:30:00"/>
    <n v="6"/>
    <d v="2026-08-23T12:30:00"/>
    <d v="2026-08-23T12:45:00"/>
    <d v="2026-08-23T13:06:00"/>
    <d v="2026-08-23T13:41:00"/>
    <d v="2026-08-23T13:47:00"/>
    <d v="1899-12-30T01:17:00"/>
    <n v="1902.01"/>
    <x v="2"/>
    <s v="Vikram"/>
    <x v="0"/>
    <s v="1"/>
    <x v="1"/>
    <s v="Anjali"/>
    <x v="7"/>
  </r>
  <r>
    <s v="ORD-1200"/>
    <x v="21"/>
    <d v="1899-12-30T19:40:00"/>
    <n v="7"/>
    <d v="2026-08-16T19:40:00"/>
    <d v="2026-08-16T19:53:00"/>
    <d v="2026-08-16T20:06:00"/>
    <d v="2026-08-16T20:49:00"/>
    <d v="2026-08-16T21:02:00"/>
    <d v="1899-12-30T01:22:00"/>
    <n v="1361.37"/>
    <x v="0"/>
    <s v="Neha"/>
    <x v="2"/>
    <m/>
    <x v="0"/>
    <s v="Vivek"/>
    <x v="11"/>
  </r>
  <r>
    <s v="ORD-1201"/>
    <x v="27"/>
    <d v="1899-12-30T18:50:00"/>
    <n v="8"/>
    <d v="2026-08-22T18:50:00"/>
    <d v="2026-08-22T19:04:00"/>
    <d v="2026-08-22T19:36:00"/>
    <d v="2026-08-22T20:39:00"/>
    <d v="2026-08-22T20:51:00"/>
    <d v="1899-12-30T02:01:00"/>
    <n v="2306.7800000000002"/>
    <x v="2"/>
    <s v="Vikram"/>
    <x v="2"/>
    <s v="1"/>
    <x v="0"/>
    <s v="Rohit"/>
    <x v="6"/>
  </r>
  <r>
    <s v="ORD-1202"/>
    <x v="6"/>
    <d v="1899-12-30T19:40:00"/>
    <n v="7"/>
    <d v="2026-08-08T19:40:00"/>
    <d v="2026-08-08T19:56:00"/>
    <d v="2026-08-08T20:26:00"/>
    <d v="2026-08-08T21:00:00"/>
    <d v="2026-08-08T21:09:00"/>
    <d v="1899-12-30T01:29:00"/>
    <n v="2298.4299999999998"/>
    <x v="1"/>
    <s v="Rohan"/>
    <x v="1"/>
    <s v="1"/>
    <x v="1"/>
    <s v="Sneha"/>
    <x v="17"/>
  </r>
  <r>
    <s v="ORD-1203"/>
    <x v="26"/>
    <d v="1899-12-30T18:05:00"/>
    <n v="2"/>
    <d v="2026-08-10T18:05:00"/>
    <d v="2026-08-10T18:15:00"/>
    <d v="2026-08-10T18:36:00"/>
    <d v="2026-08-10T19:17:00"/>
    <d v="2026-08-10T19:26:00"/>
    <d v="1899-12-30T01:21:00"/>
    <n v="1985.68"/>
    <x v="0"/>
    <s v="Pooja"/>
    <x v="1"/>
    <s v="4"/>
    <x v="0"/>
    <s v="Pooja"/>
    <x v="7"/>
  </r>
  <r>
    <s v="ORD-1204"/>
    <x v="18"/>
    <d v="1899-12-30T20:25:00"/>
    <n v="2"/>
    <d v="2026-08-24T20:25:00"/>
    <d v="2026-08-24T20:30:00"/>
    <d v="2026-08-24T21:07:00"/>
    <d v="2026-08-24T22:12:00"/>
    <d v="2026-08-24T22:15:00"/>
    <d v="1899-12-30T01:50:00"/>
    <n v="1772.63"/>
    <x v="2"/>
    <s v="Neha"/>
    <x v="3"/>
    <m/>
    <x v="0"/>
    <s v="Akshay"/>
    <x v="15"/>
  </r>
  <r>
    <s v="ORD-1205"/>
    <x v="28"/>
    <d v="1899-12-30T19:25:00"/>
    <n v="7"/>
    <d v="2026-08-06T19:25:00"/>
    <d v="2026-08-06T19:37:00"/>
    <d v="2026-08-06T19:56:00"/>
    <d v="2026-08-06T20:41:00"/>
    <d v="2026-08-06T20:53:00"/>
    <d v="1899-12-30T01:28:00"/>
    <n v="1232.28"/>
    <x v="2"/>
    <s v="Vikram"/>
    <x v="0"/>
    <s v="1"/>
    <x v="2"/>
    <s v="Anjali"/>
    <x v="11"/>
  </r>
  <r>
    <s v="ORD-1206"/>
    <x v="7"/>
    <d v="1899-12-30T13:45:00"/>
    <n v="5"/>
    <d v="2026-08-29T13:45:00"/>
    <d v="2026-08-29T13:50:00"/>
    <d v="2026-08-29T14:24:00"/>
    <d v="2026-08-29T14:57:00"/>
    <d v="2026-08-29T15:02:00"/>
    <d v="1899-12-30T01:17:00"/>
    <n v="1234.2"/>
    <x v="2"/>
    <s v="Neha"/>
    <x v="2"/>
    <m/>
    <x v="2"/>
    <s v="Amit"/>
    <x v="3"/>
  </r>
  <r>
    <s v="ORD-1207"/>
    <x v="30"/>
    <d v="1899-12-30T14:35:00"/>
    <n v="2"/>
    <d v="2026-08-12T14:35:00"/>
    <d v="2026-08-12T14:50:00"/>
    <d v="2026-08-12T15:17:00"/>
    <d v="2026-08-12T16:10:00"/>
    <d v="2026-08-12T16:22:00"/>
    <d v="1899-12-30T01:47:00"/>
    <n v="1673.27"/>
    <x v="1"/>
    <s v="Vikram"/>
    <x v="2"/>
    <s v="3"/>
    <x v="1"/>
    <s v="Nikita"/>
    <x v="2"/>
  </r>
  <r>
    <s v="ORD-1208"/>
    <x v="23"/>
    <d v="1899-12-30T20:50:00"/>
    <n v="4"/>
    <d v="2026-08-15T20:50:00"/>
    <d v="2026-08-15T21:04:00"/>
    <d v="2026-08-15T21:18:00"/>
    <d v="2026-08-15T22:21:00"/>
    <d v="2026-08-15T22:25:00"/>
    <d v="1899-12-30T01:35:00"/>
    <n v="1912.58"/>
    <x v="0"/>
    <s v="Sahil"/>
    <x v="2"/>
    <s v="2"/>
    <x v="1"/>
    <s v="Megha"/>
    <x v="5"/>
  </r>
  <r>
    <s v="ORD-1209"/>
    <x v="17"/>
    <d v="1899-12-30T19:30:00"/>
    <n v="8"/>
    <d v="2026-08-05T19:30:00"/>
    <d v="2026-08-05T19:44:00"/>
    <d v="2026-08-05T20:08:00"/>
    <d v="2026-08-05T20:55:00"/>
    <d v="2026-08-05T20:59:00"/>
    <d v="1899-12-30T01:29:00"/>
    <n v="2393.2800000000002"/>
    <x v="0"/>
    <s v="Rohan"/>
    <x v="3"/>
    <s v="4"/>
    <x v="1"/>
    <s v="Amit"/>
    <x v="7"/>
  </r>
  <r>
    <s v="ORD-1210"/>
    <x v="28"/>
    <d v="1899-12-30T14:35:00"/>
    <n v="8"/>
    <d v="2026-08-06T14:35:00"/>
    <d v="2026-08-06T14:53:00"/>
    <d v="2026-08-06T15:16:00"/>
    <d v="2026-08-06T15:36:00"/>
    <d v="2026-08-06T15:45:00"/>
    <d v="1899-12-30T01:10:00"/>
    <n v="4229"/>
    <x v="1"/>
    <s v="Pooja"/>
    <x v="0"/>
    <m/>
    <x v="1"/>
    <s v="Kunal"/>
    <x v="6"/>
  </r>
  <r>
    <s v="ORD-1211"/>
    <x v="5"/>
    <d v="1899-12-30T21:35:00"/>
    <n v="2"/>
    <d v="2026-08-23T21:35:00"/>
    <d v="2026-08-23T21:49:00"/>
    <d v="2026-08-23T22:01:00"/>
    <d v="2026-08-23T22:35:00"/>
    <d v="2026-08-23T22:41:00"/>
    <d v="1899-12-30T01:06:00"/>
    <n v="1533.59"/>
    <x v="0"/>
    <s v="Sahil"/>
    <x v="3"/>
    <m/>
    <x v="1"/>
    <s v="Anjali"/>
    <x v="9"/>
  </r>
  <r>
    <s v="ORD-1212"/>
    <x v="18"/>
    <d v="1899-12-30T20:35:00"/>
    <n v="7"/>
    <d v="2026-08-24T20:35:00"/>
    <d v="2026-08-24T20:41:00"/>
    <d v="2026-08-24T21:11:00"/>
    <d v="2026-08-24T21:38:00"/>
    <d v="2026-08-24T21:44:00"/>
    <d v="1899-12-30T01:09:00"/>
    <n v="2614.56"/>
    <x v="2"/>
    <s v="Amit"/>
    <x v="0"/>
    <s v="5"/>
    <x v="0"/>
    <s v="Kunal"/>
    <x v="16"/>
  </r>
  <r>
    <s v="ORD-1213"/>
    <x v="25"/>
    <d v="1899-12-30T20:50:00"/>
    <n v="3"/>
    <d v="2026-08-04T20:50:00"/>
    <d v="2026-08-04T21:08:00"/>
    <d v="2026-08-04T21:21:00"/>
    <d v="2026-08-04T22:09:00"/>
    <d v="2026-08-04T22:15:00"/>
    <d v="1899-12-30T01:25:00"/>
    <n v="2034.7"/>
    <x v="1"/>
    <s v="Pooja"/>
    <x v="2"/>
    <m/>
    <x v="0"/>
    <s v="Priya"/>
    <x v="15"/>
  </r>
  <r>
    <s v="ORD-1214"/>
    <x v="2"/>
    <d v="1899-12-30T20:55:00"/>
    <n v="4"/>
    <d v="2026-08-26T20:55:00"/>
    <d v="2026-08-26T21:10:00"/>
    <d v="2026-08-26T21:35:00"/>
    <d v="2026-08-26T22:05:00"/>
    <d v="2026-08-26T22:16:00"/>
    <d v="1899-12-30T01:21:00"/>
    <n v="1988.27"/>
    <x v="0"/>
    <s v="Priya"/>
    <x v="2"/>
    <s v="5"/>
    <x v="1"/>
    <s v="Akshay"/>
    <x v="5"/>
  </r>
  <r>
    <s v="ORD-1215"/>
    <x v="10"/>
    <d v="1899-12-30T20:10:00"/>
    <n v="4"/>
    <d v="2026-08-09T20:10:00"/>
    <d v="2026-08-09T20:19:00"/>
    <d v="2026-08-09T20:49:00"/>
    <d v="2026-08-09T21:26:00"/>
    <d v="2026-08-09T21:41:00"/>
    <d v="1899-12-30T01:31:00"/>
    <n v="1456.6"/>
    <x v="2"/>
    <s v="Neha"/>
    <x v="3"/>
    <m/>
    <x v="1"/>
    <s v="Rahul"/>
    <x v="15"/>
  </r>
  <r>
    <s v="ORD-1216"/>
    <x v="10"/>
    <d v="1899-12-30T21:10:00"/>
    <n v="2"/>
    <d v="2026-08-09T21:10:00"/>
    <d v="2026-08-09T21:17:00"/>
    <d v="2026-08-09T21:51:00"/>
    <d v="2026-08-09T22:31:00"/>
    <d v="2026-08-09T22:46:00"/>
    <d v="1899-12-30T01:36:00"/>
    <n v="1807.43"/>
    <x v="2"/>
    <s v="Vikram"/>
    <x v="0"/>
    <s v="2"/>
    <x v="2"/>
    <s v="Vivek"/>
    <x v="0"/>
  </r>
  <r>
    <s v="ORD-1217"/>
    <x v="10"/>
    <d v="1899-12-30T20:30:00"/>
    <n v="6"/>
    <d v="2026-08-09T20:30:00"/>
    <d v="2026-08-09T20:45:00"/>
    <d v="2026-08-09T21:22:00"/>
    <d v="2026-08-09T21:47:00"/>
    <d v="2026-08-09T21:55:00"/>
    <d v="1899-12-30T01:25:00"/>
    <n v="1444.95"/>
    <x v="2"/>
    <s v="Sneha"/>
    <x v="0"/>
    <s v="4"/>
    <x v="1"/>
    <s v="Anjali"/>
    <x v="9"/>
  </r>
  <r>
    <s v="ORD-1218"/>
    <x v="22"/>
    <d v="1899-12-30T21:55:00"/>
    <n v="2"/>
    <d v="2026-08-01T21:55:00"/>
    <d v="2026-08-01T22:10:00"/>
    <d v="2026-08-01T22:43:00"/>
    <d v="2026-08-01T23:47:00"/>
    <d v="2026-08-01T23:54:00"/>
    <d v="1899-12-30T01:59:00"/>
    <n v="1259.75"/>
    <x v="0"/>
    <s v="Vikram"/>
    <x v="3"/>
    <s v="4"/>
    <x v="0"/>
    <s v="Pooja"/>
    <x v="8"/>
  </r>
  <r>
    <s v="ORD-1219"/>
    <x v="10"/>
    <d v="1899-12-30T14:20:00"/>
    <n v="4"/>
    <d v="2026-08-09T14:20:00"/>
    <d v="2026-08-09T14:34:00"/>
    <d v="2026-08-09T14:50:00"/>
    <d v="2026-08-09T15:46:00"/>
    <d v="2026-08-09T16:01:00"/>
    <d v="1899-12-30T01:41:00"/>
    <n v="1363.05"/>
    <x v="2"/>
    <s v="Amit"/>
    <x v="2"/>
    <s v="1"/>
    <x v="2"/>
    <s v="Sagar"/>
    <x v="1"/>
  </r>
  <r>
    <s v="ORD-1220"/>
    <x v="29"/>
    <d v="1899-12-30T19:05:00"/>
    <n v="2"/>
    <d v="2026-08-27T19:05:00"/>
    <d v="2026-08-27T19:17:00"/>
    <d v="2026-08-27T19:29:00"/>
    <d v="2026-08-27T20:16:00"/>
    <d v="2026-08-27T20:21:00"/>
    <d v="1899-12-30T01:16:00"/>
    <n v="1435.03"/>
    <x v="0"/>
    <s v="Sahil"/>
    <x v="3"/>
    <m/>
    <x v="1"/>
    <s v="Sneha"/>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3B47DE-DE37-4F43-9112-80896EF1FE4A}"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location ref="H9:I29" firstHeaderRow="1" firstDataRow="1" firstDataCol="1"/>
  <pivotFields count="18">
    <pivotField showAll="0"/>
    <pivotField numFmtId="165" showAll="0">
      <items count="32">
        <item x="22"/>
        <item x="3"/>
        <item x="12"/>
        <item x="25"/>
        <item x="17"/>
        <item x="28"/>
        <item x="1"/>
        <item x="6"/>
        <item x="10"/>
        <item x="26"/>
        <item x="20"/>
        <item x="30"/>
        <item x="19"/>
        <item x="14"/>
        <item x="23"/>
        <item x="21"/>
        <item x="8"/>
        <item x="15"/>
        <item x="16"/>
        <item x="24"/>
        <item x="0"/>
        <item x="27"/>
        <item x="5"/>
        <item x="18"/>
        <item x="4"/>
        <item x="2"/>
        <item x="29"/>
        <item x="9"/>
        <item x="7"/>
        <item x="13"/>
        <item x="11"/>
        <item t="default"/>
      </items>
    </pivotField>
    <pivotField numFmtId="164" showAll="0"/>
    <pivotField showAll="0"/>
    <pivotField numFmtId="22" showAll="0"/>
    <pivotField showAll="0"/>
    <pivotField showAll="0"/>
    <pivotField showAll="0"/>
    <pivotField showAll="0"/>
    <pivotField numFmtId="166" showAll="0"/>
    <pivotField dataField="1" showAll="0"/>
    <pivotField showAll="0"/>
    <pivotField showAll="0"/>
    <pivotField showAll="0">
      <items count="6">
        <item x="1"/>
        <item x="0"/>
        <item x="2"/>
        <item x="3"/>
        <item x="4"/>
        <item t="default"/>
      </items>
    </pivotField>
    <pivotField showAll="0"/>
    <pivotField showAll="0">
      <items count="4">
        <item x="2"/>
        <item x="1"/>
        <item x="0"/>
        <item t="default"/>
      </items>
    </pivotField>
    <pivotField showAll="0"/>
    <pivotField axis="axisRow" showAll="0">
      <items count="21">
        <item x="19"/>
        <item x="6"/>
        <item x="9"/>
        <item x="4"/>
        <item x="7"/>
        <item x="13"/>
        <item x="10"/>
        <item x="0"/>
        <item x="2"/>
        <item x="15"/>
        <item x="12"/>
        <item x="14"/>
        <item x="3"/>
        <item x="11"/>
        <item x="8"/>
        <item x="18"/>
        <item x="16"/>
        <item x="1"/>
        <item x="17"/>
        <item x="5"/>
        <item t="default"/>
      </items>
    </pivotField>
  </pivotFields>
  <rowFields count="1">
    <field x="17"/>
  </rowFields>
  <rowItems count="20">
    <i>
      <x/>
    </i>
    <i>
      <x v="1"/>
    </i>
    <i>
      <x v="2"/>
    </i>
    <i>
      <x v="3"/>
    </i>
    <i>
      <x v="4"/>
    </i>
    <i>
      <x v="5"/>
    </i>
    <i>
      <x v="6"/>
    </i>
    <i>
      <x v="7"/>
    </i>
    <i>
      <x v="8"/>
    </i>
    <i>
      <x v="9"/>
    </i>
    <i>
      <x v="10"/>
    </i>
    <i>
      <x v="11"/>
    </i>
    <i>
      <x v="12"/>
    </i>
    <i>
      <x v="13"/>
    </i>
    <i>
      <x v="14"/>
    </i>
    <i>
      <x v="15"/>
    </i>
    <i>
      <x v="16"/>
    </i>
    <i>
      <x v="17"/>
    </i>
    <i>
      <x v="18"/>
    </i>
    <i>
      <x v="19"/>
    </i>
  </rowItems>
  <colItems count="1">
    <i/>
  </colItems>
  <dataFields count="1">
    <dataField name="Average of Total_Bill" fld="10" subtotal="average" baseField="17"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E7D881-9F51-4963-93F4-A425736DCE06}"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location ref="E34:F37" firstHeaderRow="1" firstDataRow="1" firstDataCol="1"/>
  <pivotFields count="18">
    <pivotField showAll="0"/>
    <pivotField numFmtId="165" showAll="0">
      <items count="32">
        <item x="22"/>
        <item x="3"/>
        <item x="12"/>
        <item x="25"/>
        <item x="17"/>
        <item x="28"/>
        <item x="1"/>
        <item x="6"/>
        <item x="10"/>
        <item x="26"/>
        <item x="20"/>
        <item x="30"/>
        <item x="19"/>
        <item x="14"/>
        <item x="23"/>
        <item x="21"/>
        <item x="8"/>
        <item x="15"/>
        <item x="16"/>
        <item x="24"/>
        <item x="0"/>
        <item x="27"/>
        <item x="5"/>
        <item x="18"/>
        <item x="4"/>
        <item x="2"/>
        <item x="29"/>
        <item x="9"/>
        <item x="7"/>
        <item x="13"/>
        <item x="11"/>
        <item t="default"/>
      </items>
    </pivotField>
    <pivotField numFmtId="164" showAll="0"/>
    <pivotField showAll="0"/>
    <pivotField numFmtId="22" showAll="0"/>
    <pivotField showAll="0"/>
    <pivotField showAll="0"/>
    <pivotField showAll="0"/>
    <pivotField showAll="0"/>
    <pivotField numFmtId="166" showAll="0"/>
    <pivotField dataField="1" showAll="0"/>
    <pivotField showAll="0"/>
    <pivotField showAll="0"/>
    <pivotField showAll="0">
      <items count="6">
        <item x="1"/>
        <item x="0"/>
        <item x="2"/>
        <item x="3"/>
        <item x="4"/>
        <item t="default"/>
      </items>
    </pivotField>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items count="21">
        <item x="19"/>
        <item x="6"/>
        <item x="9"/>
        <item x="4"/>
        <item x="7"/>
        <item x="13"/>
        <item x="10"/>
        <item x="0"/>
        <item x="2"/>
        <item x="15"/>
        <item x="12"/>
        <item x="14"/>
        <item x="3"/>
        <item x="11"/>
        <item x="8"/>
        <item x="18"/>
        <item x="16"/>
        <item x="1"/>
        <item x="17"/>
        <item x="5"/>
        <item t="default"/>
      </items>
    </pivotField>
  </pivotFields>
  <rowFields count="1">
    <field x="15"/>
  </rowFields>
  <rowItems count="3">
    <i>
      <x v="2"/>
    </i>
    <i>
      <x v="1"/>
    </i>
    <i>
      <x/>
    </i>
  </rowItems>
  <colItems count="1">
    <i/>
  </colItems>
  <dataFields count="1">
    <dataField name="Sum of Total_Bill" fld="10" baseField="0" baseItem="0"/>
  </dataFields>
  <chartFormats count="9">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5" count="1" selected="0">
            <x v="2"/>
          </reference>
        </references>
      </pivotArea>
    </chartFormat>
    <chartFormat chart="3" format="7">
      <pivotArea type="data" outline="0" fieldPosition="0">
        <references count="2">
          <reference field="4294967294" count="1" selected="0">
            <x v="0"/>
          </reference>
          <reference field="15" count="1" selected="0">
            <x v="1"/>
          </reference>
        </references>
      </pivotArea>
    </chartFormat>
    <chartFormat chart="3" format="8">
      <pivotArea type="data" outline="0" fieldPosition="0">
        <references count="2">
          <reference field="4294967294" count="1" selected="0">
            <x v="0"/>
          </reference>
          <reference field="15" count="1" selected="0">
            <x v="0"/>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15" count="1" selected="0">
            <x v="2"/>
          </reference>
        </references>
      </pivotArea>
    </chartFormat>
    <chartFormat chart="7" format="15">
      <pivotArea type="data" outline="0" fieldPosition="0">
        <references count="2">
          <reference field="4294967294" count="1" selected="0">
            <x v="0"/>
          </reference>
          <reference field="15" count="1" selected="0">
            <x v="1"/>
          </reference>
        </references>
      </pivotArea>
    </chartFormat>
    <chartFormat chart="7" format="16">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B6C6C0-B2D9-49B7-9CE0-CE2CC2D7674A}"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9">
  <location ref="B34:C54" firstHeaderRow="1" firstDataRow="1" firstDataCol="1"/>
  <pivotFields count="18">
    <pivotField showAll="0"/>
    <pivotField numFmtId="165" showAll="0">
      <items count="32">
        <item x="22"/>
        <item x="3"/>
        <item x="12"/>
        <item x="25"/>
        <item x="17"/>
        <item x="28"/>
        <item x="1"/>
        <item x="6"/>
        <item x="10"/>
        <item x="26"/>
        <item x="20"/>
        <item x="30"/>
        <item x="19"/>
        <item x="14"/>
        <item x="23"/>
        <item x="21"/>
        <item x="8"/>
        <item x="15"/>
        <item x="16"/>
        <item x="24"/>
        <item x="0"/>
        <item x="27"/>
        <item x="5"/>
        <item x="18"/>
        <item x="4"/>
        <item x="2"/>
        <item x="29"/>
        <item x="9"/>
        <item x="7"/>
        <item x="13"/>
        <item x="11"/>
        <item t="default"/>
      </items>
    </pivotField>
    <pivotField numFmtId="164" showAll="0"/>
    <pivotField showAll="0"/>
    <pivotField numFmtId="22" showAll="0"/>
    <pivotField showAll="0"/>
    <pivotField showAll="0"/>
    <pivotField showAll="0"/>
    <pivotField showAll="0"/>
    <pivotField dataField="1" numFmtId="166" showAll="0"/>
    <pivotField showAll="0"/>
    <pivotField showAll="0"/>
    <pivotField showAll="0"/>
    <pivotField showAll="0">
      <items count="6">
        <item x="1"/>
        <item x="0"/>
        <item x="2"/>
        <item x="3"/>
        <item x="4"/>
        <item t="default"/>
      </items>
    </pivotField>
    <pivotField showAll="0"/>
    <pivotField showAll="0">
      <items count="4">
        <item x="2"/>
        <item x="1"/>
        <item x="0"/>
        <item t="default"/>
      </items>
    </pivotField>
    <pivotField showAll="0"/>
    <pivotField axis="axisRow" showAll="0">
      <items count="21">
        <item x="19"/>
        <item x="6"/>
        <item x="9"/>
        <item x="4"/>
        <item x="7"/>
        <item x="13"/>
        <item x="10"/>
        <item x="0"/>
        <item x="2"/>
        <item x="15"/>
        <item x="12"/>
        <item x="14"/>
        <item x="3"/>
        <item x="11"/>
        <item x="8"/>
        <item x="18"/>
        <item x="16"/>
        <item x="1"/>
        <item x="17"/>
        <item x="5"/>
        <item t="default"/>
      </items>
    </pivotField>
  </pivotFields>
  <rowFields count="1">
    <field x="17"/>
  </rowFields>
  <rowItems count="20">
    <i>
      <x/>
    </i>
    <i>
      <x v="1"/>
    </i>
    <i>
      <x v="2"/>
    </i>
    <i>
      <x v="3"/>
    </i>
    <i>
      <x v="4"/>
    </i>
    <i>
      <x v="5"/>
    </i>
    <i>
      <x v="6"/>
    </i>
    <i>
      <x v="7"/>
    </i>
    <i>
      <x v="8"/>
    </i>
    <i>
      <x v="9"/>
    </i>
    <i>
      <x v="10"/>
    </i>
    <i>
      <x v="11"/>
    </i>
    <i>
      <x v="12"/>
    </i>
    <i>
      <x v="13"/>
    </i>
    <i>
      <x v="14"/>
    </i>
    <i>
      <x v="15"/>
    </i>
    <i>
      <x v="16"/>
    </i>
    <i>
      <x v="17"/>
    </i>
    <i>
      <x v="18"/>
    </i>
    <i>
      <x v="19"/>
    </i>
  </rowItems>
  <colItems count="1">
    <i/>
  </colItems>
  <dataFields count="1">
    <dataField name="Average of  Table Turnover Time" fld="9" subtotal="average" baseField="17" baseItem="0" numFmtId="166"/>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E41386-E57F-4DDF-93C7-0739A749E3CC}"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location ref="B9:C29" firstHeaderRow="1" firstDataRow="1" firstDataCol="1"/>
  <pivotFields count="18">
    <pivotField showAll="0"/>
    <pivotField numFmtId="165" showAll="0">
      <items count="32">
        <item x="22"/>
        <item x="3"/>
        <item x="12"/>
        <item x="25"/>
        <item x="17"/>
        <item x="28"/>
        <item x="1"/>
        <item x="6"/>
        <item x="10"/>
        <item x="26"/>
        <item x="20"/>
        <item x="30"/>
        <item x="19"/>
        <item x="14"/>
        <item x="23"/>
        <item x="21"/>
        <item x="8"/>
        <item x="15"/>
        <item x="16"/>
        <item x="24"/>
        <item x="0"/>
        <item x="27"/>
        <item x="5"/>
        <item x="18"/>
        <item x="4"/>
        <item x="2"/>
        <item x="29"/>
        <item x="9"/>
        <item x="7"/>
        <item x="13"/>
        <item x="11"/>
        <item t="default"/>
      </items>
    </pivotField>
    <pivotField numFmtId="164" showAll="0"/>
    <pivotField showAll="0"/>
    <pivotField numFmtId="22" showAll="0"/>
    <pivotField showAll="0"/>
    <pivotField showAll="0"/>
    <pivotField showAll="0"/>
    <pivotField showAll="0"/>
    <pivotField numFmtId="166" showAll="0"/>
    <pivotField dataField="1" showAll="0"/>
    <pivotField showAll="0">
      <items count="5">
        <item x="2"/>
        <item x="0"/>
        <item x="3"/>
        <item x="1"/>
        <item t="default"/>
      </items>
    </pivotField>
    <pivotField showAll="0"/>
    <pivotField showAll="0">
      <items count="6">
        <item x="1"/>
        <item x="0"/>
        <item x="2"/>
        <item x="3"/>
        <item x="4"/>
        <item t="default"/>
      </items>
    </pivotField>
    <pivotField showAll="0"/>
    <pivotField showAll="0">
      <items count="4">
        <item x="2"/>
        <item x="1"/>
        <item x="0"/>
        <item t="default"/>
      </items>
    </pivotField>
    <pivotField showAll="0"/>
    <pivotField axis="axisRow" showAll="0">
      <items count="21">
        <item x="19"/>
        <item x="6"/>
        <item x="9"/>
        <item x="4"/>
        <item x="7"/>
        <item x="13"/>
        <item x="10"/>
        <item x="0"/>
        <item x="2"/>
        <item x="15"/>
        <item x="12"/>
        <item x="14"/>
        <item x="3"/>
        <item x="11"/>
        <item x="8"/>
        <item x="18"/>
        <item x="16"/>
        <item x="1"/>
        <item x="17"/>
        <item x="5"/>
        <item t="default"/>
      </items>
    </pivotField>
  </pivotFields>
  <rowFields count="1">
    <field x="17"/>
  </rowFields>
  <rowItems count="20">
    <i>
      <x/>
    </i>
    <i>
      <x v="1"/>
    </i>
    <i>
      <x v="2"/>
    </i>
    <i>
      <x v="3"/>
    </i>
    <i>
      <x v="4"/>
    </i>
    <i>
      <x v="5"/>
    </i>
    <i>
      <x v="6"/>
    </i>
    <i>
      <x v="7"/>
    </i>
    <i>
      <x v="8"/>
    </i>
    <i>
      <x v="9"/>
    </i>
    <i>
      <x v="10"/>
    </i>
    <i>
      <x v="11"/>
    </i>
    <i>
      <x v="12"/>
    </i>
    <i>
      <x v="13"/>
    </i>
    <i>
      <x v="14"/>
    </i>
    <i>
      <x v="15"/>
    </i>
    <i>
      <x v="16"/>
    </i>
    <i>
      <x v="17"/>
    </i>
    <i>
      <x v="18"/>
    </i>
    <i>
      <x v="19"/>
    </i>
  </rowItems>
  <colItems count="1">
    <i/>
  </colItems>
  <dataFields count="1">
    <dataField name="Sum of Total_Bill" fld="10"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0C2D67-B452-4401-942C-542F7DC7466F}"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location ref="E41:F72" firstHeaderRow="1" firstDataRow="1" firstDataCol="1"/>
  <pivotFields count="18">
    <pivotField showAll="0"/>
    <pivotField axis="axisRow" numFmtId="165" showAll="0">
      <items count="32">
        <item x="22"/>
        <item x="3"/>
        <item x="12"/>
        <item x="25"/>
        <item x="17"/>
        <item x="28"/>
        <item x="1"/>
        <item x="6"/>
        <item x="10"/>
        <item x="26"/>
        <item x="20"/>
        <item x="30"/>
        <item x="19"/>
        <item x="14"/>
        <item x="23"/>
        <item x="21"/>
        <item x="8"/>
        <item x="15"/>
        <item x="16"/>
        <item x="24"/>
        <item x="0"/>
        <item x="27"/>
        <item x="5"/>
        <item x="18"/>
        <item x="4"/>
        <item x="2"/>
        <item x="29"/>
        <item x="9"/>
        <item x="7"/>
        <item x="13"/>
        <item x="11"/>
        <item t="default"/>
      </items>
    </pivotField>
    <pivotField numFmtId="164" showAll="0"/>
    <pivotField showAll="0"/>
    <pivotField numFmtId="22" showAll="0"/>
    <pivotField showAll="0"/>
    <pivotField showAll="0"/>
    <pivotField showAll="0"/>
    <pivotField showAll="0"/>
    <pivotField numFmtId="166" showAll="0"/>
    <pivotField dataField="1" showAll="0"/>
    <pivotField showAll="0"/>
    <pivotField showAll="0"/>
    <pivotField showAll="0">
      <items count="6">
        <item x="1"/>
        <item x="0"/>
        <item x="2"/>
        <item x="3"/>
        <item x="4"/>
        <item t="default"/>
      </items>
    </pivotField>
    <pivotField showAll="0"/>
    <pivotField showAll="0">
      <items count="4">
        <item x="2"/>
        <item x="1"/>
        <item x="0"/>
        <item t="default"/>
      </items>
    </pivotField>
    <pivotField showAll="0"/>
    <pivotField showAll="0">
      <items count="21">
        <item x="19"/>
        <item x="6"/>
        <item x="9"/>
        <item x="4"/>
        <item x="7"/>
        <item x="13"/>
        <item x="10"/>
        <item x="0"/>
        <item x="2"/>
        <item x="15"/>
        <item x="12"/>
        <item x="14"/>
        <item x="3"/>
        <item x="11"/>
        <item x="8"/>
        <item x="18"/>
        <item x="16"/>
        <item x="1"/>
        <item x="17"/>
        <item x="5"/>
        <item t="default"/>
      </items>
    </pivotField>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Total_Bill" fld="10"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B00FBC-B03D-4DD7-9ADA-D42C87BEB8A9}"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9">
  <location ref="H34:I38" firstHeaderRow="1" firstDataRow="1" firstDataCol="1"/>
  <pivotFields count="18">
    <pivotField showAll="0"/>
    <pivotField numFmtId="165" showAll="0">
      <items count="32">
        <item x="22"/>
        <item x="3"/>
        <item x="12"/>
        <item x="25"/>
        <item x="17"/>
        <item x="28"/>
        <item x="1"/>
        <item x="6"/>
        <item x="10"/>
        <item x="26"/>
        <item x="20"/>
        <item x="30"/>
        <item x="19"/>
        <item x="14"/>
        <item x="23"/>
        <item x="21"/>
        <item x="8"/>
        <item x="15"/>
        <item x="16"/>
        <item x="24"/>
        <item x="0"/>
        <item x="27"/>
        <item x="5"/>
        <item x="18"/>
        <item x="4"/>
        <item x="2"/>
        <item x="29"/>
        <item x="9"/>
        <item x="7"/>
        <item x="13"/>
        <item x="11"/>
        <item t="default"/>
      </items>
    </pivotField>
    <pivotField numFmtId="164" showAll="0"/>
    <pivotField showAll="0"/>
    <pivotField numFmtId="22" showAll="0"/>
    <pivotField showAll="0"/>
    <pivotField showAll="0"/>
    <pivotField showAll="0"/>
    <pivotField showAll="0"/>
    <pivotField numFmtId="166" showAll="0"/>
    <pivotField dataField="1" showAll="0"/>
    <pivotField axis="axisRow" showAll="0">
      <items count="5">
        <item x="2"/>
        <item x="0"/>
        <item x="1"/>
        <item n="Unknown2" x="3"/>
        <item t="default"/>
      </items>
    </pivotField>
    <pivotField showAll="0"/>
    <pivotField showAll="0">
      <items count="6">
        <item x="1"/>
        <item x="0"/>
        <item x="2"/>
        <item x="3"/>
        <item x="4"/>
        <item t="default"/>
      </items>
    </pivotField>
    <pivotField showAll="0"/>
    <pivotField showAll="0">
      <items count="4">
        <item x="2"/>
        <item x="1"/>
        <item x="0"/>
        <item t="default"/>
      </items>
    </pivotField>
    <pivotField showAll="0"/>
    <pivotField showAll="0">
      <items count="21">
        <item x="19"/>
        <item x="6"/>
        <item x="9"/>
        <item x="4"/>
        <item x="7"/>
        <item x="13"/>
        <item x="10"/>
        <item x="0"/>
        <item x="2"/>
        <item x="15"/>
        <item x="12"/>
        <item x="14"/>
        <item x="3"/>
        <item x="11"/>
        <item x="8"/>
        <item x="18"/>
        <item x="16"/>
        <item x="1"/>
        <item x="17"/>
        <item x="5"/>
        <item t="default"/>
      </items>
    </pivotField>
  </pivotFields>
  <rowFields count="1">
    <field x="11"/>
  </rowFields>
  <rowItems count="4">
    <i>
      <x/>
    </i>
    <i>
      <x v="1"/>
    </i>
    <i>
      <x v="2"/>
    </i>
    <i>
      <x v="3"/>
    </i>
  </rowItems>
  <colItems count="1">
    <i/>
  </colItems>
  <dataFields count="1">
    <dataField name="Sum of Total_Bill" fld="10" baseField="0" baseItem="0"/>
  </dataFields>
  <chartFormats count="1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1" count="1" selected="0">
            <x v="0"/>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 chart="1" format="4">
      <pivotArea type="data" outline="0" fieldPosition="0">
        <references count="2">
          <reference field="4294967294" count="1" selected="0">
            <x v="0"/>
          </reference>
          <reference field="11"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1" count="1" selected="0">
            <x v="0"/>
          </reference>
        </references>
      </pivotArea>
    </chartFormat>
    <chartFormat chart="4" format="12">
      <pivotArea type="data" outline="0" fieldPosition="0">
        <references count="2">
          <reference field="4294967294" count="1" selected="0">
            <x v="0"/>
          </reference>
          <reference field="11" count="1" selected="0">
            <x v="1"/>
          </reference>
        </references>
      </pivotArea>
    </chartFormat>
    <chartFormat chart="4" format="13">
      <pivotArea type="data" outline="0" fieldPosition="0">
        <references count="2">
          <reference field="4294967294" count="1" selected="0">
            <x v="0"/>
          </reference>
          <reference field="11" count="1" selected="0">
            <x v="2"/>
          </reference>
        </references>
      </pivotArea>
    </chartFormat>
    <chartFormat chart="4" format="15">
      <pivotArea type="data" outline="0" fieldPosition="0">
        <references count="2">
          <reference field="4294967294" count="1" selected="0">
            <x v="0"/>
          </reference>
          <reference field="11" count="1" selected="0">
            <x v="3"/>
          </reference>
        </references>
      </pivotArea>
    </chartFormat>
    <chartFormat chart="8" format="21" series="1">
      <pivotArea type="data" outline="0" fieldPosition="0">
        <references count="1">
          <reference field="4294967294" count="1" selected="0">
            <x v="0"/>
          </reference>
        </references>
      </pivotArea>
    </chartFormat>
    <chartFormat chart="8" format="22">
      <pivotArea type="data" outline="0" fieldPosition="0">
        <references count="2">
          <reference field="4294967294" count="1" selected="0">
            <x v="0"/>
          </reference>
          <reference field="11" count="1" selected="0">
            <x v="0"/>
          </reference>
        </references>
      </pivotArea>
    </chartFormat>
    <chartFormat chart="8" format="23">
      <pivotArea type="data" outline="0" fieldPosition="0">
        <references count="2">
          <reference field="4294967294" count="1" selected="0">
            <x v="0"/>
          </reference>
          <reference field="11" count="1" selected="0">
            <x v="1"/>
          </reference>
        </references>
      </pivotArea>
    </chartFormat>
    <chartFormat chart="8" format="24">
      <pivotArea type="data" outline="0" fieldPosition="0">
        <references count="2">
          <reference field="4294967294" count="1" selected="0">
            <x v="0"/>
          </reference>
          <reference field="11" count="1" selected="0">
            <x v="2"/>
          </reference>
        </references>
      </pivotArea>
    </chartFormat>
    <chartFormat chart="8" format="25">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09D1B8-AA28-4FB1-9C84-660A8DD62ED1}"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location ref="E9:F29" firstHeaderRow="1" firstDataRow="1" firstDataCol="1"/>
  <pivotFields count="18">
    <pivotField dataField="1" showAll="0"/>
    <pivotField numFmtId="165" showAll="0">
      <items count="32">
        <item x="22"/>
        <item x="3"/>
        <item x="12"/>
        <item x="25"/>
        <item x="17"/>
        <item x="28"/>
        <item x="1"/>
        <item x="6"/>
        <item x="10"/>
        <item x="26"/>
        <item x="20"/>
        <item x="30"/>
        <item x="19"/>
        <item x="14"/>
        <item x="23"/>
        <item x="21"/>
        <item x="8"/>
        <item x="15"/>
        <item x="16"/>
        <item x="24"/>
        <item x="0"/>
        <item x="27"/>
        <item x="5"/>
        <item x="18"/>
        <item x="4"/>
        <item x="2"/>
        <item x="29"/>
        <item x="9"/>
        <item x="7"/>
        <item x="13"/>
        <item x="11"/>
        <item t="default"/>
      </items>
    </pivotField>
    <pivotField numFmtId="164" showAll="0"/>
    <pivotField showAll="0"/>
    <pivotField numFmtId="22" showAll="0"/>
    <pivotField showAll="0"/>
    <pivotField showAll="0"/>
    <pivotField showAll="0"/>
    <pivotField showAll="0"/>
    <pivotField numFmtId="166" showAll="0"/>
    <pivotField showAll="0"/>
    <pivotField showAll="0"/>
    <pivotField showAll="0"/>
    <pivotField showAll="0">
      <items count="6">
        <item x="1"/>
        <item x="0"/>
        <item x="2"/>
        <item x="3"/>
        <item x="4"/>
        <item t="default"/>
      </items>
    </pivotField>
    <pivotField showAll="0"/>
    <pivotField showAll="0">
      <items count="4">
        <item x="2"/>
        <item x="1"/>
        <item x="0"/>
        <item t="default"/>
      </items>
    </pivotField>
    <pivotField showAll="0"/>
    <pivotField axis="axisRow" showAll="0">
      <items count="21">
        <item x="19"/>
        <item x="6"/>
        <item x="9"/>
        <item x="4"/>
        <item x="7"/>
        <item x="13"/>
        <item x="10"/>
        <item x="0"/>
        <item x="2"/>
        <item x="15"/>
        <item x="12"/>
        <item x="14"/>
        <item x="3"/>
        <item x="11"/>
        <item x="8"/>
        <item x="18"/>
        <item x="16"/>
        <item x="1"/>
        <item x="17"/>
        <item x="5"/>
        <item t="default"/>
      </items>
    </pivotField>
  </pivotFields>
  <rowFields count="1">
    <field x="17"/>
  </rowFields>
  <rowItems count="20">
    <i>
      <x/>
    </i>
    <i>
      <x v="1"/>
    </i>
    <i>
      <x v="2"/>
    </i>
    <i>
      <x v="3"/>
    </i>
    <i>
      <x v="4"/>
    </i>
    <i>
      <x v="5"/>
    </i>
    <i>
      <x v="6"/>
    </i>
    <i>
      <x v="7"/>
    </i>
    <i>
      <x v="8"/>
    </i>
    <i>
      <x v="9"/>
    </i>
    <i>
      <x v="10"/>
    </i>
    <i>
      <x v="11"/>
    </i>
    <i>
      <x v="12"/>
    </i>
    <i>
      <x v="13"/>
    </i>
    <i>
      <x v="14"/>
    </i>
    <i>
      <x v="15"/>
    </i>
    <i>
      <x v="16"/>
    </i>
    <i>
      <x v="17"/>
    </i>
    <i>
      <x v="18"/>
    </i>
    <i>
      <x v="19"/>
    </i>
  </rowItems>
  <colItems count="1">
    <i/>
  </colItems>
  <dataFields count="1">
    <dataField name="Count of Order_ID"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B1BC51-8F4D-4576-8407-6AAED38DA4F2}" name="PivotTable9"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0">
  <location ref="H41:I61" firstHeaderRow="1" firstDataRow="1" firstDataCol="1"/>
  <pivotFields count="18">
    <pivotField showAll="0"/>
    <pivotField numFmtId="165" showAll="0">
      <items count="32">
        <item x="22"/>
        <item x="3"/>
        <item x="12"/>
        <item x="25"/>
        <item x="17"/>
        <item x="28"/>
        <item x="1"/>
        <item x="6"/>
        <item x="10"/>
        <item x="26"/>
        <item x="20"/>
        <item x="30"/>
        <item x="19"/>
        <item x="14"/>
        <item x="23"/>
        <item x="21"/>
        <item x="8"/>
        <item x="15"/>
        <item x="16"/>
        <item x="24"/>
        <item x="0"/>
        <item x="27"/>
        <item x="5"/>
        <item x="18"/>
        <item x="4"/>
        <item x="2"/>
        <item x="29"/>
        <item x="9"/>
        <item x="7"/>
        <item x="13"/>
        <item x="11"/>
        <item t="default"/>
      </items>
    </pivotField>
    <pivotField numFmtId="164" showAll="0"/>
    <pivotField dataField="1" showAll="0"/>
    <pivotField numFmtId="22" showAll="0"/>
    <pivotField showAll="0"/>
    <pivotField showAll="0"/>
    <pivotField showAll="0"/>
    <pivotField showAll="0"/>
    <pivotField numFmtId="166" showAll="0"/>
    <pivotField showAll="0"/>
    <pivotField showAll="0"/>
    <pivotField showAll="0"/>
    <pivotField showAll="0">
      <items count="6">
        <item x="1"/>
        <item x="0"/>
        <item x="2"/>
        <item x="3"/>
        <item x="4"/>
        <item t="default"/>
      </items>
    </pivotField>
    <pivotField showAll="0"/>
    <pivotField showAll="0">
      <items count="4">
        <item x="2"/>
        <item x="1"/>
        <item x="0"/>
        <item t="default"/>
      </items>
    </pivotField>
    <pivotField showAll="0"/>
    <pivotField axis="axisRow" showAll="0">
      <items count="21">
        <item x="19"/>
        <item x="6"/>
        <item x="9"/>
        <item x="4"/>
        <item x="7"/>
        <item x="13"/>
        <item x="10"/>
        <item x="0"/>
        <item x="2"/>
        <item x="15"/>
        <item x="12"/>
        <item x="14"/>
        <item x="3"/>
        <item x="11"/>
        <item x="8"/>
        <item x="18"/>
        <item x="16"/>
        <item x="1"/>
        <item x="17"/>
        <item x="5"/>
        <item t="default"/>
      </items>
    </pivotField>
  </pivotFields>
  <rowFields count="1">
    <field x="17"/>
  </rowFields>
  <rowItems count="20">
    <i>
      <x/>
    </i>
    <i>
      <x v="1"/>
    </i>
    <i>
      <x v="2"/>
    </i>
    <i>
      <x v="3"/>
    </i>
    <i>
      <x v="4"/>
    </i>
    <i>
      <x v="5"/>
    </i>
    <i>
      <x v="6"/>
    </i>
    <i>
      <x v="7"/>
    </i>
    <i>
      <x v="8"/>
    </i>
    <i>
      <x v="9"/>
    </i>
    <i>
      <x v="10"/>
    </i>
    <i>
      <x v="11"/>
    </i>
    <i>
      <x v="12"/>
    </i>
    <i>
      <x v="13"/>
    </i>
    <i>
      <x v="14"/>
    </i>
    <i>
      <x v="15"/>
    </i>
    <i>
      <x v="16"/>
    </i>
    <i>
      <x v="17"/>
    </i>
    <i>
      <x v="18"/>
    </i>
    <i>
      <x v="19"/>
    </i>
  </rowItems>
  <colItems count="1">
    <i/>
  </colItems>
  <dataFields count="1">
    <dataField name="Sum of Customer_Count" fld="3"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27F9CC5-E8A7-49B3-BB15-8C1A097B1369}" autoFormatId="16" applyNumberFormats="0" applyBorderFormats="0" applyFontFormats="0" applyPatternFormats="0" applyAlignmentFormats="0" applyWidthHeightFormats="0">
  <queryTableRefresh nextId="19">
    <queryTableFields count="18">
      <queryTableField id="1" name="Order_ID" tableColumnId="18"/>
      <queryTableField id="2" name="Order_Date" tableColumnId="2"/>
      <queryTableField id="3" name="Order_Time" tableColumnId="3"/>
      <queryTableField id="4" name="Customer_Count" tableColumnId="4"/>
      <queryTableField id="5" name="Seating_Time" tableColumnId="5"/>
      <queryTableField id="6" name="Order_Placed_Time" tableColumnId="6"/>
      <queryTableField id="7" name="Food_Served_Time" tableColumnId="7"/>
      <queryTableField id="8" name="Bill_Time" tableColumnId="8"/>
      <queryTableField id="9" name="Table_Vacated_Time" tableColumnId="9"/>
      <queryTableField id="18" dataBound="0" tableColumnId="1"/>
      <queryTableField id="10" name="Total_Bill" tableColumnId="10"/>
      <queryTableField id="11" name="Payment_Mode" tableColumnId="11"/>
      <queryTableField id="12" name="Server" tableColumnId="12"/>
      <queryTableField id="13" name="Table_Area" tableColumnId="13"/>
      <queryTableField id="14" name="Customer_Rating" tableColumnId="14"/>
      <queryTableField id="15" name="Meal_Type" tableColumnId="15"/>
      <queryTableField id="16" name="Customer_Name" tableColumnId="16"/>
      <queryTableField id="17" name="Table_No"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ble_No" xr10:uid="{2E5348B6-17D3-4F48-8A80-E455160E5B21}" sourceName="Table_No">
  <pivotTables>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126384957">
      <items count="20">
        <i x="19" s="1"/>
        <i x="6" s="1"/>
        <i x="9" s="1"/>
        <i x="4" s="1"/>
        <i x="7" s="1"/>
        <i x="13" s="1"/>
        <i x="10" s="1"/>
        <i x="0" s="1"/>
        <i x="2" s="1"/>
        <i x="15" s="1"/>
        <i x="12" s="1"/>
        <i x="14" s="1"/>
        <i x="3" s="1"/>
        <i x="11" s="1"/>
        <i x="8" s="1"/>
        <i x="18" s="1"/>
        <i x="16" s="1"/>
        <i x="1" s="1"/>
        <i x="17"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DAF5D8E8-AF30-46E5-AEE0-A45261A5DC28}" sourceName="Order_Date">
  <pivotTables>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126384957">
      <items count="31">
        <i x="22" s="1"/>
        <i x="3" s="1"/>
        <i x="12" s="1"/>
        <i x="25" s="1"/>
        <i x="17" s="1"/>
        <i x="28" s="1"/>
        <i x="1" s="1"/>
        <i x="6" s="1"/>
        <i x="10" s="1"/>
        <i x="26" s="1"/>
        <i x="20" s="1"/>
        <i x="30" s="1"/>
        <i x="19" s="1"/>
        <i x="14" s="1"/>
        <i x="23" s="1"/>
        <i x="21" s="1"/>
        <i x="8" s="1"/>
        <i x="15" s="1"/>
        <i x="16" s="1"/>
        <i x="24" s="1"/>
        <i x="0" s="1"/>
        <i x="27" s="1"/>
        <i x="5" s="1"/>
        <i x="18" s="1"/>
        <i x="4" s="1"/>
        <i x="2" s="1"/>
        <i x="29" s="1"/>
        <i x="9" s="1"/>
        <i x="7" s="1"/>
        <i x="13"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al_Type" xr10:uid="{47458401-7A26-40FA-B184-2268BA942B59}" sourceName="Meal_Type">
  <pivotTables>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126384957">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ble_Area" xr10:uid="{D3E8D3DF-D531-4C9A-8041-B6B53BB51AA3}" sourceName="Table_Area">
  <pivotTables>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126384957">
      <items count="5">
        <i x="1" s="1"/>
        <i x="0" s="1"/>
        <i x="2"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73E53ED3-CF71-4C87-8260-E8A78E609547}" sourceName="Payment_Mode">
  <pivotTables>
    <pivotTable tabId="5" name="PivotTable2"/>
  </pivotTables>
  <data>
    <tabular pivotCacheId="1126384957">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ble_No" xr10:uid="{FF14A873-0077-4C9B-A56C-0E0743BDCF12}" cache="Slicer_Table_No" caption="Table_No" style="SlicerStyleLight1 2" rowHeight="234950"/>
  <slicer name="Meal_Type" xr10:uid="{1A7344E2-24FA-4F77-96A3-BC22499A45F6}" cache="Slicer_Meal_Type" caption="Meal_Type" style="SlicerStyleLight1 2" rowHeight="234950"/>
  <slicer name="Table_Area" xr10:uid="{F4779555-F799-4D4B-B0DC-EEC20F4D44B4}" cache="Slicer_Table_Area" caption="Table_Area" rowHeight="234950"/>
  <slicer name="Payment_Mode" xr10:uid="{8F901E28-8E34-4CE7-B1CF-42A83A54AAAE}" cache="Slicer_Payment_Mode" caption="Payment_Mod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ble_No 1" xr10:uid="{522A0103-0300-4ED9-832C-6EA1C69C2842}" cache="Slicer_Table_No" caption="Table_No" style="SlicerStyleLight1 2" rowHeight="234950"/>
  <slicer name="Order_Date 2" xr10:uid="{EA8B6A45-FF47-407A-BBC7-53C7627DB5A3}" cache="Slicer_Order_Date" caption="Order_Date" columnCount="3" style="SlicerStyleLight1 2" rowHeight="234950"/>
  <slicer name="Meal_Type 1" xr10:uid="{909154F7-C2A1-4759-A0E9-CEFC9A9C3E86}" cache="Slicer_Meal_Type" caption="Meal_Type" columnCount="4" style="SlicerStyleLight1 2" rowHeight="234950"/>
  <slicer name="Table_Area 1" xr10:uid="{DD588EE6-EAE8-4008-898E-464D8F8FF47F}" cache="Slicer_Table_Area" caption="Table_Area" style="SlicerStyleLight1 2" rowHeight="234950"/>
  <slicer name="Payment_Mode 1" xr10:uid="{E65986B8-E090-4F0C-B3DB-967478F568B9}" cache="Slicer_Payment_Mode" caption="Payment_Mode" columnCount="4" style="SlicerStyleLight1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CDFB7C-705C-496D-99E2-60E3064253D3}" name="Raw_Data" displayName="Raw_Data" ref="A1:R221" tableType="queryTable" totalsRowShown="0">
  <autoFilter ref="A1:R221" xr:uid="{21CDFB7C-705C-496D-99E2-60E3064253D3}"/>
  <tableColumns count="18">
    <tableColumn id="18" xr3:uid="{2F548F05-6118-4B43-8271-9051003E878A}" uniqueName="18" name="Order_ID" queryTableFieldId="1" dataDxfId="14"/>
    <tableColumn id="2" xr3:uid="{450EED26-ABE7-4D22-B60F-AE6F57934C44}" uniqueName="2" name="Order_Date" queryTableFieldId="2" dataDxfId="13"/>
    <tableColumn id="3" xr3:uid="{1B9392AB-AED4-49B0-95C5-FD07E314CB76}" uniqueName="3" name="Order_Time" queryTableFieldId="3" dataDxfId="12"/>
    <tableColumn id="4" xr3:uid="{644FBFC7-0D9E-46EC-90E4-86C9899C6CC5}" uniqueName="4" name="Customer_Count" queryTableFieldId="4"/>
    <tableColumn id="5" xr3:uid="{BC9D4355-A7F4-418B-AFC2-D838D1E8BF6A}" uniqueName="5" name="Seating_Time" queryTableFieldId="5" dataDxfId="11"/>
    <tableColumn id="6" xr3:uid="{412D6931-BFCD-491C-B74C-743F727E1C95}" uniqueName="6" name="Order_Placed_Time" queryTableFieldId="6" dataDxfId="10"/>
    <tableColumn id="7" xr3:uid="{8CEAF28F-1C3C-41AE-B047-A05C60C56844}" uniqueName="7" name="Food_Served_Time" queryTableFieldId="7" dataDxfId="9"/>
    <tableColumn id="8" xr3:uid="{1E540565-C355-4DCC-AF78-2EA9609411DC}" uniqueName="8" name="Bill_Time" queryTableFieldId="8" dataDxfId="8"/>
    <tableColumn id="9" xr3:uid="{C908F63D-267C-45D3-B217-D96F9A8886A9}" uniqueName="9" name="Table_Vacated_Time" queryTableFieldId="9" dataDxfId="7"/>
    <tableColumn id="1" xr3:uid="{D8CF3683-B4B8-4791-BF0F-124E0764C40E}" uniqueName="1" name=" Table Turnover Time" queryTableFieldId="18" dataDxfId="6">
      <calculatedColumnFormula>IF(OR(NOT(ISNUMBER(Raw_Data[[#This Row],[Table_Vacated_Time]])),NOT(ISNUMBER(Raw_Data[[#This Row],[Seating_Time]])))," ",Raw_Data[[#This Row],[Table_Vacated_Time]]-Raw_Data[[#This Row],[Seating_Time]])</calculatedColumnFormula>
    </tableColumn>
    <tableColumn id="10" xr3:uid="{F4EDC0A7-C114-4F79-A3E5-FD8730B1BB41}" uniqueName="10" name="Total_Bill" queryTableFieldId="10"/>
    <tableColumn id="11" xr3:uid="{2590A25E-568A-4D51-B909-CA615FC3A5DC}" uniqueName="11" name="Payment_Mode" queryTableFieldId="11" dataDxfId="5"/>
    <tableColumn id="12" xr3:uid="{3E99D87D-0478-466E-8861-3D3F8E981200}" uniqueName="12" name="Server" queryTableFieldId="12" dataDxfId="4"/>
    <tableColumn id="13" xr3:uid="{847444CF-F5CC-4DFF-8997-4C1D6B6B5BF9}" uniqueName="13" name="Table_Area" queryTableFieldId="13" dataDxfId="3"/>
    <tableColumn id="14" xr3:uid="{AFF2E5E7-3A54-44A4-B84D-3A4CDFA3C6FB}" uniqueName="14" name="Customer_Rating" queryTableFieldId="14" dataDxfId="2"/>
    <tableColumn id="15" xr3:uid="{DFF46EEA-F42E-413E-8442-39052E54D89A}" uniqueName="15" name="Meal_Type" queryTableFieldId="15" dataDxfId="1"/>
    <tableColumn id="16" xr3:uid="{8166F81B-B454-4ECC-9D31-BA41E5B36930}" uniqueName="16" name="Customer_Name" queryTableFieldId="16" dataDxfId="0"/>
    <tableColumn id="17" xr3:uid="{4AE895D6-C258-4674-A6E2-D3EFB938DB26}" uniqueName="17" name="Table_No" queryTableFieldId="17"/>
  </tableColumns>
  <tableStyleInfo name="TableStyleMedium7"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978D3-7668-4852-9778-28EE32EC05AA}">
  <dimension ref="A1:R221"/>
  <sheetViews>
    <sheetView topLeftCell="G1" workbookViewId="0">
      <pane ySplit="1" topLeftCell="A2" activePane="bottomLeft" state="frozen"/>
      <selection activeCell="E1" sqref="E1"/>
      <selection pane="bottomLeft" activeCell="L1" sqref="L1"/>
    </sheetView>
  </sheetViews>
  <sheetFormatPr defaultRowHeight="13.8" x14ac:dyDescent="0.25"/>
  <cols>
    <col min="1" max="1" width="10.69921875" customWidth="1"/>
    <col min="2" max="2" width="12.796875" customWidth="1"/>
    <col min="3" max="3" width="12.8984375" style="2" customWidth="1"/>
    <col min="4" max="4" width="17.5" customWidth="1"/>
    <col min="5" max="5" width="14.59765625" customWidth="1"/>
    <col min="6" max="6" width="19.796875" customWidth="1"/>
    <col min="7" max="7" width="19.5" customWidth="1"/>
    <col min="8" max="8" width="14.59765625" customWidth="1"/>
    <col min="9" max="9" width="26.59765625" customWidth="1"/>
    <col min="10" max="10" width="29.5" style="6" customWidth="1"/>
    <col min="11" max="11" width="10.796875" customWidth="1"/>
    <col min="12" max="12" width="16.796875" customWidth="1"/>
    <col min="13" max="13" width="8.5" customWidth="1"/>
    <col min="14" max="14" width="12.59765625" customWidth="1"/>
    <col min="15" max="15" width="17.69921875" customWidth="1"/>
    <col min="16" max="16" width="12.5" customWidth="1"/>
    <col min="17" max="17" width="17.5" customWidth="1"/>
    <col min="18" max="18" width="11" customWidth="1"/>
  </cols>
  <sheetData>
    <row r="1" spans="1:18" x14ac:dyDescent="0.25">
      <c r="A1" s="1" t="s">
        <v>0</v>
      </c>
      <c r="B1" s="1" t="s">
        <v>1</v>
      </c>
      <c r="C1" s="2" t="s">
        <v>2</v>
      </c>
      <c r="D1" s="1" t="s">
        <v>3</v>
      </c>
      <c r="E1" s="1" t="s">
        <v>4</v>
      </c>
      <c r="F1" s="1" t="s">
        <v>5</v>
      </c>
      <c r="G1" s="1" t="s">
        <v>6</v>
      </c>
      <c r="H1" s="1" t="s">
        <v>7</v>
      </c>
      <c r="I1" s="1" t="s">
        <v>8</v>
      </c>
      <c r="J1" s="6" t="s">
        <v>270</v>
      </c>
      <c r="K1" s="1" t="s">
        <v>9</v>
      </c>
      <c r="L1" s="1" t="s">
        <v>10</v>
      </c>
      <c r="M1" s="1" t="s">
        <v>11</v>
      </c>
      <c r="N1" s="1" t="s">
        <v>12</v>
      </c>
      <c r="O1" s="1" t="s">
        <v>13</v>
      </c>
      <c r="P1" s="1" t="s">
        <v>14</v>
      </c>
      <c r="Q1" s="1" t="s">
        <v>15</v>
      </c>
      <c r="R1" s="1" t="s">
        <v>16</v>
      </c>
    </row>
    <row r="2" spans="1:18" x14ac:dyDescent="0.25">
      <c r="A2" s="1" t="s">
        <v>17</v>
      </c>
      <c r="B2" s="4">
        <v>46255</v>
      </c>
      <c r="C2" s="2">
        <v>0.53819444444444442</v>
      </c>
      <c r="D2" s="1">
        <v>4</v>
      </c>
      <c r="E2" s="3">
        <v>46255.538194444445</v>
      </c>
      <c r="F2" s="3">
        <v>46255.543749999997</v>
      </c>
      <c r="G2" s="3">
        <v>46255.554861111108</v>
      </c>
      <c r="H2" s="3">
        <v>46255.572916666664</v>
      </c>
      <c r="I2" s="3">
        <v>46255.581250000003</v>
      </c>
      <c r="J2" s="6">
        <f>IF(OR(NOT(ISNUMBER(Raw_Data[[#This Row],[Table_Vacated_Time]])),NOT(ISNUMBER(Raw_Data[[#This Row],[Seating_Time]])))," ",Raw_Data[[#This Row],[Table_Vacated_Time]]-Raw_Data[[#This Row],[Seating_Time]])</f>
        <v>4.3055555557657499E-2</v>
      </c>
      <c r="K2" s="1">
        <v>1903.19</v>
      </c>
      <c r="L2" s="1" t="s">
        <v>18</v>
      </c>
      <c r="M2" s="1" t="s">
        <v>19</v>
      </c>
      <c r="N2" s="1" t="s">
        <v>20</v>
      </c>
      <c r="O2" s="1" t="s">
        <v>277</v>
      </c>
      <c r="P2" s="1" t="s">
        <v>21</v>
      </c>
      <c r="Q2" s="1" t="s">
        <v>22</v>
      </c>
      <c r="R2" s="1">
        <v>8</v>
      </c>
    </row>
    <row r="3" spans="1:18" x14ac:dyDescent="0.25">
      <c r="A3" s="1" t="s">
        <v>23</v>
      </c>
      <c r="B3" s="4">
        <v>46241</v>
      </c>
      <c r="C3" s="2">
        <v>0.57291666666666663</v>
      </c>
      <c r="D3" s="1">
        <v>1</v>
      </c>
      <c r="E3" s="3">
        <v>46241.572916666664</v>
      </c>
      <c r="F3" s="3">
        <v>46241.578472222223</v>
      </c>
      <c r="G3" s="3">
        <v>46241.602083333331</v>
      </c>
      <c r="H3" s="3">
        <v>46241.644444444442</v>
      </c>
      <c r="I3" s="3">
        <v>46241.65347222222</v>
      </c>
      <c r="J3" s="6">
        <f>IF(OR(NOT(ISNUMBER(Raw_Data[[#This Row],[Table_Vacated_Time]])),NOT(ISNUMBER(Raw_Data[[#This Row],[Seating_Time]])))," ",Raw_Data[[#This Row],[Table_Vacated_Time]]-Raw_Data[[#This Row],[Seating_Time]])</f>
        <v>8.0555555556202307E-2</v>
      </c>
      <c r="K3" s="1">
        <v>1193.95</v>
      </c>
      <c r="L3" s="1" t="s">
        <v>18</v>
      </c>
      <c r="M3" s="1" t="s">
        <v>24</v>
      </c>
      <c r="N3" s="1" t="s">
        <v>25</v>
      </c>
      <c r="O3" s="1"/>
      <c r="P3" s="1" t="s">
        <v>21</v>
      </c>
      <c r="Q3" s="1" t="s">
        <v>26</v>
      </c>
      <c r="R3" s="1">
        <v>18</v>
      </c>
    </row>
    <row r="4" spans="1:18" x14ac:dyDescent="0.25">
      <c r="A4" s="1" t="s">
        <v>27</v>
      </c>
      <c r="B4" s="4">
        <v>46260</v>
      </c>
      <c r="C4" s="2">
        <v>0.5625</v>
      </c>
      <c r="D4" s="1">
        <v>4</v>
      </c>
      <c r="E4" s="3">
        <v>46260.5625</v>
      </c>
      <c r="F4" s="3">
        <v>46260.567361111112</v>
      </c>
      <c r="G4" s="3">
        <v>46260.579861111109</v>
      </c>
      <c r="H4" s="3">
        <v>46260.60833333333</v>
      </c>
      <c r="I4" s="3">
        <v>46260.61041666667</v>
      </c>
      <c r="J4" s="6">
        <f>IF(OR(NOT(ISNUMBER(Raw_Data[[#This Row],[Table_Vacated_Time]])),NOT(ISNUMBER(Raw_Data[[#This Row],[Seating_Time]])))," ",Raw_Data[[#This Row],[Table_Vacated_Time]]-Raw_Data[[#This Row],[Seating_Time]])</f>
        <v>4.7916666670062114E-2</v>
      </c>
      <c r="K4" s="1">
        <v>1986.23</v>
      </c>
      <c r="L4" s="1" t="s">
        <v>28</v>
      </c>
      <c r="M4" s="1" t="s">
        <v>22</v>
      </c>
      <c r="N4" s="1" t="s">
        <v>25</v>
      </c>
      <c r="O4" s="1" t="s">
        <v>278</v>
      </c>
      <c r="P4" s="1" t="s">
        <v>29</v>
      </c>
      <c r="Q4" s="1" t="s">
        <v>26</v>
      </c>
      <c r="R4" s="1">
        <v>9</v>
      </c>
    </row>
    <row r="5" spans="1:18" x14ac:dyDescent="0.25">
      <c r="A5" s="1" t="s">
        <v>30</v>
      </c>
      <c r="B5" s="4">
        <v>46236</v>
      </c>
      <c r="C5" s="2">
        <v>0.86111111111111116</v>
      </c>
      <c r="D5" s="1">
        <v>2</v>
      </c>
      <c r="E5" s="3">
        <v>46236.861111111109</v>
      </c>
      <c r="F5" s="3">
        <v>46236.865277777775</v>
      </c>
      <c r="G5" s="3">
        <v>46236.885416666664</v>
      </c>
      <c r="H5" s="3">
        <v>46236.911805555559</v>
      </c>
      <c r="I5" s="3">
        <v>46236.922222222223</v>
      </c>
      <c r="J5" s="6">
        <f>IF(OR(NOT(ISNUMBER(Raw_Data[[#This Row],[Table_Vacated_Time]])),NOT(ISNUMBER(Raw_Data[[#This Row],[Seating_Time]])))," ",Raw_Data[[#This Row],[Table_Vacated_Time]]-Raw_Data[[#This Row],[Seating_Time]])</f>
        <v>6.1111111113859806E-2</v>
      </c>
      <c r="K5" s="1">
        <v>2227.67</v>
      </c>
      <c r="L5" s="1" t="s">
        <v>31</v>
      </c>
      <c r="M5" s="1" t="s">
        <v>32</v>
      </c>
      <c r="N5" s="1" t="s">
        <v>33</v>
      </c>
      <c r="O5" s="1" t="s">
        <v>277</v>
      </c>
      <c r="P5" s="1" t="s">
        <v>34</v>
      </c>
      <c r="Q5" s="1" t="s">
        <v>32</v>
      </c>
      <c r="R5" s="1">
        <v>13</v>
      </c>
    </row>
    <row r="6" spans="1:18" x14ac:dyDescent="0.25">
      <c r="A6" s="1" t="s">
        <v>35</v>
      </c>
      <c r="B6" s="4">
        <v>46259</v>
      </c>
      <c r="C6" s="2">
        <v>0.58680555555555558</v>
      </c>
      <c r="D6" s="1">
        <v>3</v>
      </c>
      <c r="E6" s="3">
        <v>46259.586805555555</v>
      </c>
      <c r="F6" s="3">
        <v>46259.594444444447</v>
      </c>
      <c r="G6" s="3">
        <v>46259.60833333333</v>
      </c>
      <c r="H6" s="3">
        <v>46259.642361111109</v>
      </c>
      <c r="I6" s="3">
        <v>46259.650694444441</v>
      </c>
      <c r="J6" s="6">
        <f>IF(OR(NOT(ISNUMBER(Raw_Data[[#This Row],[Table_Vacated_Time]])),NOT(ISNUMBER(Raw_Data[[#This Row],[Seating_Time]])))," ",Raw_Data[[#This Row],[Table_Vacated_Time]]-Raw_Data[[#This Row],[Seating_Time]])</f>
        <v>6.3888888886140194E-2</v>
      </c>
      <c r="K6" s="1">
        <v>1381.22</v>
      </c>
      <c r="L6" s="1" t="s">
        <v>18</v>
      </c>
      <c r="M6" s="1" t="s">
        <v>22</v>
      </c>
      <c r="N6" s="1" t="s">
        <v>25</v>
      </c>
      <c r="O6" s="1" t="s">
        <v>279</v>
      </c>
      <c r="P6" s="1" t="s">
        <v>34</v>
      </c>
      <c r="Q6" s="1" t="s">
        <v>36</v>
      </c>
      <c r="R6" s="1">
        <v>4</v>
      </c>
    </row>
    <row r="7" spans="1:18" x14ac:dyDescent="0.25">
      <c r="A7" s="1" t="s">
        <v>37</v>
      </c>
      <c r="B7" s="4">
        <v>46257</v>
      </c>
      <c r="C7" s="2">
        <v>0.95138888888888884</v>
      </c>
      <c r="D7" s="1">
        <v>2</v>
      </c>
      <c r="E7" s="3">
        <v>46257.951388888891</v>
      </c>
      <c r="F7" s="3">
        <v>46257.961805555555</v>
      </c>
      <c r="G7" s="3">
        <v>46257.973611111112</v>
      </c>
      <c r="H7" s="3">
        <v>46258.011111111111</v>
      </c>
      <c r="I7" s="3">
        <v>46258.020138888889</v>
      </c>
      <c r="J7" s="6">
        <f>IF(OR(NOT(ISNUMBER(Raw_Data[[#This Row],[Table_Vacated_Time]])),NOT(ISNUMBER(Raw_Data[[#This Row],[Seating_Time]])))," ",Raw_Data[[#This Row],[Table_Vacated_Time]]-Raw_Data[[#This Row],[Seating_Time]])</f>
        <v>6.8749999998544808E-2</v>
      </c>
      <c r="K7" s="1">
        <v>1261.22</v>
      </c>
      <c r="L7" s="1" t="s">
        <v>28</v>
      </c>
      <c r="M7" s="1" t="s">
        <v>38</v>
      </c>
      <c r="N7" s="1" t="s">
        <v>25</v>
      </c>
      <c r="O7" s="1"/>
      <c r="P7" s="1" t="s">
        <v>34</v>
      </c>
      <c r="Q7" s="1" t="s">
        <v>39</v>
      </c>
      <c r="R7" s="1">
        <v>20</v>
      </c>
    </row>
    <row r="8" spans="1:18" x14ac:dyDescent="0.25">
      <c r="A8" s="1" t="s">
        <v>40</v>
      </c>
      <c r="B8" s="4">
        <v>46242</v>
      </c>
      <c r="C8" s="2">
        <v>0.83333333333333337</v>
      </c>
      <c r="D8" s="1">
        <v>3</v>
      </c>
      <c r="E8" s="3">
        <v>46242.833333333336</v>
      </c>
      <c r="F8" s="3">
        <v>46242.845138888886</v>
      </c>
      <c r="G8" s="3">
        <v>46242.86041666667</v>
      </c>
      <c r="H8" s="3">
        <v>46242.89166666667</v>
      </c>
      <c r="I8" s="3">
        <v>46242.895833333336</v>
      </c>
      <c r="J8" s="6">
        <f>IF(OR(NOT(ISNUMBER(Raw_Data[[#This Row],[Table_Vacated_Time]])),NOT(ISNUMBER(Raw_Data[[#This Row],[Seating_Time]])))," ",Raw_Data[[#This Row],[Table_Vacated_Time]]-Raw_Data[[#This Row],[Seating_Time]])</f>
        <v>6.25E-2</v>
      </c>
      <c r="K8" s="1">
        <v>2140.71</v>
      </c>
      <c r="L8" s="1" t="s">
        <v>18</v>
      </c>
      <c r="M8" s="1" t="s">
        <v>22</v>
      </c>
      <c r="N8" s="1" t="s">
        <v>41</v>
      </c>
      <c r="O8" s="1"/>
      <c r="P8" s="1" t="s">
        <v>29</v>
      </c>
      <c r="Q8" s="1" t="s">
        <v>42</v>
      </c>
      <c r="R8" s="1">
        <v>2</v>
      </c>
    </row>
    <row r="9" spans="1:18" x14ac:dyDescent="0.25">
      <c r="A9" s="1" t="s">
        <v>43</v>
      </c>
      <c r="B9" s="4">
        <v>46263</v>
      </c>
      <c r="C9" s="2">
        <v>0.89930555555555558</v>
      </c>
      <c r="D9" s="1">
        <v>2</v>
      </c>
      <c r="E9" s="3">
        <v>46263.899305555555</v>
      </c>
      <c r="F9" s="3">
        <v>46263.904166666667</v>
      </c>
      <c r="G9" s="3">
        <v>46263.917361111111</v>
      </c>
      <c r="H9" s="3">
        <v>46263.955555555556</v>
      </c>
      <c r="I9" s="3">
        <v>46263.962500000001</v>
      </c>
      <c r="J9" s="6">
        <f>IF(OR(NOT(ISNUMBER(Raw_Data[[#This Row],[Table_Vacated_Time]])),NOT(ISNUMBER(Raw_Data[[#This Row],[Seating_Time]])))," ",Raw_Data[[#This Row],[Table_Vacated_Time]]-Raw_Data[[#This Row],[Seating_Time]])</f>
        <v>6.3194444446708076E-2</v>
      </c>
      <c r="K9" s="1">
        <v>1812.09</v>
      </c>
      <c r="L9" s="1" t="s">
        <v>18</v>
      </c>
      <c r="M9" s="1" t="s">
        <v>38</v>
      </c>
      <c r="N9" s="1" t="s">
        <v>20</v>
      </c>
      <c r="O9" s="1" t="s">
        <v>280</v>
      </c>
      <c r="P9" s="1" t="s">
        <v>21</v>
      </c>
      <c r="Q9" s="1" t="s">
        <v>44</v>
      </c>
      <c r="R9" s="1">
        <v>9</v>
      </c>
    </row>
    <row r="10" spans="1:18" x14ac:dyDescent="0.25">
      <c r="A10" s="1" t="s">
        <v>45</v>
      </c>
      <c r="B10" s="4">
        <v>46251</v>
      </c>
      <c r="C10" s="2">
        <v>0.79166666666666663</v>
      </c>
      <c r="D10" s="1">
        <v>2</v>
      </c>
      <c r="E10" s="3">
        <v>46251.791666666664</v>
      </c>
      <c r="F10" s="3">
        <v>46251.802083333336</v>
      </c>
      <c r="G10" s="3">
        <v>46251.813888888886</v>
      </c>
      <c r="H10" s="3">
        <v>46251.857638888891</v>
      </c>
      <c r="I10" s="3">
        <v>46251.863194444442</v>
      </c>
      <c r="J10" s="6">
        <f>IF(OR(NOT(ISNUMBER(Raw_Data[[#This Row],[Table_Vacated_Time]])),NOT(ISNUMBER(Raw_Data[[#This Row],[Seating_Time]])))," ",Raw_Data[[#This Row],[Table_Vacated_Time]]-Raw_Data[[#This Row],[Seating_Time]])</f>
        <v>7.1527777778101154E-2</v>
      </c>
      <c r="K10" s="1">
        <v>1131.79</v>
      </c>
      <c r="L10" s="1" t="s">
        <v>28</v>
      </c>
      <c r="M10" s="1" t="s">
        <v>44</v>
      </c>
      <c r="N10" s="1" t="s">
        <v>20</v>
      </c>
      <c r="O10" s="1" t="s">
        <v>278</v>
      </c>
      <c r="P10" s="1" t="s">
        <v>29</v>
      </c>
      <c r="Q10" s="1" t="s">
        <v>39</v>
      </c>
      <c r="R10" s="1">
        <v>5</v>
      </c>
    </row>
    <row r="11" spans="1:18" x14ac:dyDescent="0.25">
      <c r="A11" s="1" t="s">
        <v>46</v>
      </c>
      <c r="B11" s="4">
        <v>46262</v>
      </c>
      <c r="C11" s="2">
        <v>0.95138888888888884</v>
      </c>
      <c r="D11" s="1">
        <v>2</v>
      </c>
      <c r="E11" s="3">
        <v>46262.951388888891</v>
      </c>
      <c r="F11" s="3">
        <v>46262.963194444441</v>
      </c>
      <c r="G11" s="3">
        <v>46262.977083333331</v>
      </c>
      <c r="H11" s="3">
        <v>46263.019444444442</v>
      </c>
      <c r="I11" s="3">
        <v>46263.024305555555</v>
      </c>
      <c r="J11" s="6">
        <f>IF(OR(NOT(ISNUMBER(Raw_Data[[#This Row],[Table_Vacated_Time]])),NOT(ISNUMBER(Raw_Data[[#This Row],[Seating_Time]])))," ",Raw_Data[[#This Row],[Table_Vacated_Time]]-Raw_Data[[#This Row],[Seating_Time]])</f>
        <v>7.2916666664241347E-2</v>
      </c>
      <c r="K11" s="1">
        <v>1688.41</v>
      </c>
      <c r="L11" s="1" t="s">
        <v>28</v>
      </c>
      <c r="M11" s="1" t="s">
        <v>47</v>
      </c>
      <c r="N11" s="1" t="s">
        <v>20</v>
      </c>
      <c r="O11" s="1" t="s">
        <v>277</v>
      </c>
      <c r="P11" s="1" t="s">
        <v>34</v>
      </c>
      <c r="Q11" s="1" t="s">
        <v>48</v>
      </c>
      <c r="R11" s="1">
        <v>18</v>
      </c>
    </row>
    <row r="12" spans="1:18" x14ac:dyDescent="0.25">
      <c r="A12" s="1" t="s">
        <v>49</v>
      </c>
      <c r="B12" s="4">
        <v>46243</v>
      </c>
      <c r="C12" s="2">
        <v>0.92361111111111116</v>
      </c>
      <c r="D12">
        <v>7</v>
      </c>
      <c r="E12" s="3">
        <v>46243.923611111109</v>
      </c>
      <c r="F12" s="3">
        <v>46243.936111111114</v>
      </c>
      <c r="G12" s="3">
        <v>46243.958333333336</v>
      </c>
      <c r="H12" s="3">
        <v>46243.98541666667</v>
      </c>
      <c r="I12" s="3">
        <v>46243.995833333334</v>
      </c>
      <c r="J12" s="6">
        <f>IF(OR(NOT(ISNUMBER(Raw_Data[[#This Row],[Table_Vacated_Time]])),NOT(ISNUMBER(Raw_Data[[#This Row],[Seating_Time]])))," ",Raw_Data[[#This Row],[Table_Vacated_Time]]-Raw_Data[[#This Row],[Seating_Time]])</f>
        <v>7.2222222224809229E-2</v>
      </c>
      <c r="K12">
        <v>1735.12</v>
      </c>
      <c r="L12" s="1" t="s">
        <v>18</v>
      </c>
      <c r="M12" s="1" t="s">
        <v>32</v>
      </c>
      <c r="N12" s="1" t="s">
        <v>41</v>
      </c>
      <c r="O12" s="1" t="s">
        <v>280</v>
      </c>
      <c r="P12" s="1" t="s">
        <v>21</v>
      </c>
      <c r="Q12" s="1" t="s">
        <v>39</v>
      </c>
      <c r="R12">
        <v>4</v>
      </c>
    </row>
    <row r="13" spans="1:18" x14ac:dyDescent="0.25">
      <c r="A13" s="1" t="s">
        <v>50</v>
      </c>
      <c r="B13" s="4">
        <v>46265</v>
      </c>
      <c r="C13" s="2">
        <v>0.90277777777777779</v>
      </c>
      <c r="D13">
        <v>1</v>
      </c>
      <c r="E13" s="3">
        <v>46265.902777777781</v>
      </c>
      <c r="F13" s="3">
        <v>46265.909722222219</v>
      </c>
      <c r="G13" s="3">
        <v>46265.928472222222</v>
      </c>
      <c r="H13" s="3">
        <v>46265.943055555559</v>
      </c>
      <c r="I13" s="3">
        <v>46265.945138888892</v>
      </c>
      <c r="J13" s="6">
        <f>IF(OR(NOT(ISNUMBER(Raw_Data[[#This Row],[Table_Vacated_Time]])),NOT(ISNUMBER(Raw_Data[[#This Row],[Seating_Time]])))," ",Raw_Data[[#This Row],[Table_Vacated_Time]]-Raw_Data[[#This Row],[Seating_Time]])</f>
        <v>4.2361111110949423E-2</v>
      </c>
      <c r="K13">
        <v>1013.85</v>
      </c>
      <c r="L13" s="1" t="s">
        <v>31</v>
      </c>
      <c r="M13" s="1" t="s">
        <v>32</v>
      </c>
      <c r="N13" s="1" t="s">
        <v>33</v>
      </c>
      <c r="O13" s="1" t="s">
        <v>279</v>
      </c>
      <c r="P13" s="1" t="s">
        <v>34</v>
      </c>
      <c r="Q13" s="1" t="s">
        <v>22</v>
      </c>
      <c r="R13">
        <v>20</v>
      </c>
    </row>
    <row r="14" spans="1:18" x14ac:dyDescent="0.25">
      <c r="A14" s="1" t="s">
        <v>51</v>
      </c>
      <c r="B14" s="4">
        <v>46237</v>
      </c>
      <c r="C14" s="2">
        <v>0.83680555555555558</v>
      </c>
      <c r="D14">
        <v>7</v>
      </c>
      <c r="E14" s="3">
        <v>46237.836805555555</v>
      </c>
      <c r="F14" s="3"/>
      <c r="G14" s="3"/>
      <c r="H14" s="3">
        <v>46237.899305555555</v>
      </c>
      <c r="I14" s="3">
        <v>46237.90625</v>
      </c>
      <c r="J14" s="6">
        <f>IF(OR(NOT(ISNUMBER(Raw_Data[[#This Row],[Table_Vacated_Time]])),NOT(ISNUMBER(Raw_Data[[#This Row],[Seating_Time]])))," ",Raw_Data[[#This Row],[Table_Vacated_Time]]-Raw_Data[[#This Row],[Seating_Time]])</f>
        <v>6.9444444445252884E-2</v>
      </c>
      <c r="K14">
        <v>2123.08</v>
      </c>
      <c r="L14" s="1" t="s">
        <v>18</v>
      </c>
      <c r="M14" s="1" t="s">
        <v>38</v>
      </c>
      <c r="N14" s="1" t="s">
        <v>41</v>
      </c>
      <c r="O14" s="1" t="s">
        <v>278</v>
      </c>
      <c r="P14" s="1" t="s">
        <v>34</v>
      </c>
      <c r="Q14" s="1" t="s">
        <v>48</v>
      </c>
      <c r="R14">
        <v>5</v>
      </c>
    </row>
    <row r="15" spans="1:18" x14ac:dyDescent="0.25">
      <c r="A15" s="1" t="s">
        <v>52</v>
      </c>
      <c r="B15" s="4">
        <v>46241</v>
      </c>
      <c r="C15" s="2">
        <v>0.85416666666666663</v>
      </c>
      <c r="D15">
        <v>4</v>
      </c>
      <c r="E15" s="3">
        <v>46241.854166666664</v>
      </c>
      <c r="F15" s="3">
        <v>46241.863194444442</v>
      </c>
      <c r="G15" s="3">
        <v>46241.881249999999</v>
      </c>
      <c r="H15" s="3">
        <v>46241.9</v>
      </c>
      <c r="I15" s="3">
        <v>46241.90347222222</v>
      </c>
      <c r="J15" s="6">
        <f>IF(OR(NOT(ISNUMBER(Raw_Data[[#This Row],[Table_Vacated_Time]])),NOT(ISNUMBER(Raw_Data[[#This Row],[Seating_Time]])))," ",Raw_Data[[#This Row],[Table_Vacated_Time]]-Raw_Data[[#This Row],[Seating_Time]])</f>
        <v>4.9305555556202307E-2</v>
      </c>
      <c r="K15">
        <v>730</v>
      </c>
      <c r="L15" s="1" t="s">
        <v>31</v>
      </c>
      <c r="M15" s="1" t="s">
        <v>44</v>
      </c>
      <c r="N15" s="1" t="s">
        <v>41</v>
      </c>
      <c r="O15" s="1" t="s">
        <v>278</v>
      </c>
      <c r="P15" s="1" t="s">
        <v>21</v>
      </c>
      <c r="Q15" s="1" t="s">
        <v>53</v>
      </c>
      <c r="R15">
        <v>15</v>
      </c>
    </row>
    <row r="16" spans="1:18" x14ac:dyDescent="0.25">
      <c r="A16" s="1" t="s">
        <v>54</v>
      </c>
      <c r="B16" s="4">
        <v>46237</v>
      </c>
      <c r="C16" s="2">
        <v>0.83333333333333337</v>
      </c>
      <c r="D16">
        <v>3</v>
      </c>
      <c r="E16" s="3">
        <v>46237.833333333336</v>
      </c>
      <c r="F16" s="3">
        <v>46237.836805555555</v>
      </c>
      <c r="G16" s="3">
        <v>46237.852083333331</v>
      </c>
      <c r="H16" s="3">
        <v>46237.868750000001</v>
      </c>
      <c r="I16" s="3">
        <v>46237.875694444447</v>
      </c>
      <c r="J16" s="6">
        <f>IF(OR(NOT(ISNUMBER(Raw_Data[[#This Row],[Table_Vacated_Time]])),NOT(ISNUMBER(Raw_Data[[#This Row],[Seating_Time]])))," ",Raw_Data[[#This Row],[Table_Vacated_Time]]-Raw_Data[[#This Row],[Seating_Time]])</f>
        <v>4.2361111110949423E-2</v>
      </c>
      <c r="K16">
        <v>610</v>
      </c>
      <c r="L16" s="1" t="s">
        <v>31</v>
      </c>
      <c r="M16" s="1" t="s">
        <v>24</v>
      </c>
      <c r="N16" s="1" t="s">
        <v>41</v>
      </c>
      <c r="O16" s="1" t="s">
        <v>278</v>
      </c>
      <c r="P16" s="1" t="s">
        <v>21</v>
      </c>
      <c r="Q16" s="1" t="s">
        <v>48</v>
      </c>
      <c r="R16">
        <v>3</v>
      </c>
    </row>
    <row r="17" spans="1:18" x14ac:dyDescent="0.25">
      <c r="A17" s="1" t="s">
        <v>55</v>
      </c>
      <c r="B17" s="4">
        <v>46264</v>
      </c>
      <c r="C17" s="2">
        <v>0.90625</v>
      </c>
      <c r="D17">
        <v>6</v>
      </c>
      <c r="E17" s="3">
        <v>46264.90625</v>
      </c>
      <c r="F17" s="3">
        <v>46264.918055555558</v>
      </c>
      <c r="G17" s="3">
        <v>46264.936805555553</v>
      </c>
      <c r="H17" s="3">
        <v>46264.96875</v>
      </c>
      <c r="I17" s="3">
        <v>46264.972222222219</v>
      </c>
      <c r="J17" s="6">
        <f>IF(OR(NOT(ISNUMBER(Raw_Data[[#This Row],[Table_Vacated_Time]])),NOT(ISNUMBER(Raw_Data[[#This Row],[Seating_Time]])))," ",Raw_Data[[#This Row],[Table_Vacated_Time]]-Raw_Data[[#This Row],[Seating_Time]])</f>
        <v>6.5972222218988463E-2</v>
      </c>
      <c r="K17">
        <v>1560.74</v>
      </c>
      <c r="L17" s="1" t="s">
        <v>31</v>
      </c>
      <c r="M17" s="1" t="s">
        <v>38</v>
      </c>
      <c r="N17" s="1" t="s">
        <v>25</v>
      </c>
      <c r="O17" s="1" t="s">
        <v>281</v>
      </c>
      <c r="P17" s="1" t="s">
        <v>29</v>
      </c>
      <c r="Q17" s="1" t="s">
        <v>24</v>
      </c>
      <c r="R17">
        <v>8</v>
      </c>
    </row>
    <row r="18" spans="1:18" x14ac:dyDescent="0.25">
      <c r="A18" s="1" t="s">
        <v>56</v>
      </c>
      <c r="B18" s="4">
        <v>46262</v>
      </c>
      <c r="C18" s="2">
        <v>0.86805555555555558</v>
      </c>
      <c r="D18">
        <v>2</v>
      </c>
      <c r="E18" s="3">
        <v>46262.868055555555</v>
      </c>
      <c r="F18" s="3">
        <v>46262.875694444447</v>
      </c>
      <c r="G18" s="3">
        <v>46262.9</v>
      </c>
      <c r="H18" s="3">
        <v>46262.928472222222</v>
      </c>
      <c r="I18" s="3">
        <v>46262.938194444447</v>
      </c>
      <c r="J18" s="6">
        <f>IF(OR(NOT(ISNUMBER(Raw_Data[[#This Row],[Table_Vacated_Time]])),NOT(ISNUMBER(Raw_Data[[#This Row],[Seating_Time]])))," ",Raw_Data[[#This Row],[Table_Vacated_Time]]-Raw_Data[[#This Row],[Seating_Time]])</f>
        <v>7.013888889196096E-2</v>
      </c>
      <c r="K18">
        <v>832.94</v>
      </c>
      <c r="L18" s="1" t="s">
        <v>18</v>
      </c>
      <c r="M18" s="1" t="s">
        <v>32</v>
      </c>
      <c r="N18" s="1" t="s">
        <v>41</v>
      </c>
      <c r="O18" s="1" t="s">
        <v>278</v>
      </c>
      <c r="P18" s="1" t="s">
        <v>29</v>
      </c>
      <c r="Q18" s="1" t="s">
        <v>44</v>
      </c>
      <c r="R18">
        <v>2</v>
      </c>
    </row>
    <row r="19" spans="1:18" x14ac:dyDescent="0.25">
      <c r="A19" s="1" t="s">
        <v>57</v>
      </c>
      <c r="B19" s="4">
        <v>46248</v>
      </c>
      <c r="C19" s="2">
        <v>0.56597222222222221</v>
      </c>
      <c r="D19">
        <v>3</v>
      </c>
      <c r="E19" s="3">
        <v>46248.565972222219</v>
      </c>
      <c r="F19" s="3">
        <v>46248.574305555558</v>
      </c>
      <c r="G19" s="3">
        <v>46248.6</v>
      </c>
      <c r="H19" s="3">
        <v>46248.638194444444</v>
      </c>
      <c r="I19" s="3">
        <v>46248.640277777777</v>
      </c>
      <c r="J19" s="6">
        <f>IF(OR(NOT(ISNUMBER(Raw_Data[[#This Row],[Table_Vacated_Time]])),NOT(ISNUMBER(Raw_Data[[#This Row],[Seating_Time]])))," ",Raw_Data[[#This Row],[Table_Vacated_Time]]-Raw_Data[[#This Row],[Seating_Time]])</f>
        <v>7.4305555557657499E-2</v>
      </c>
      <c r="K19">
        <v>1514.56</v>
      </c>
      <c r="L19" s="1" t="s">
        <v>18</v>
      </c>
      <c r="M19" s="1" t="s">
        <v>44</v>
      </c>
      <c r="N19" s="1" t="s">
        <v>33</v>
      </c>
      <c r="O19" s="1"/>
      <c r="P19" s="1" t="s">
        <v>21</v>
      </c>
      <c r="Q19" s="1" t="s">
        <v>44</v>
      </c>
      <c r="R19">
        <v>3</v>
      </c>
    </row>
    <row r="20" spans="1:18" x14ac:dyDescent="0.25">
      <c r="A20" s="1" t="s">
        <v>58</v>
      </c>
      <c r="B20" s="4">
        <v>46248</v>
      </c>
      <c r="C20" s="2">
        <v>0.80208333333333337</v>
      </c>
      <c r="D20">
        <v>5</v>
      </c>
      <c r="E20" s="3">
        <v>46248.802083333336</v>
      </c>
      <c r="F20" s="3">
        <v>46248.806944444441</v>
      </c>
      <c r="G20" s="3">
        <v>46248.823611111111</v>
      </c>
      <c r="H20" s="3">
        <v>46248.837500000001</v>
      </c>
      <c r="I20" s="3">
        <v>46248.843055555553</v>
      </c>
      <c r="J20" s="6">
        <f>IF(OR(NOT(ISNUMBER(Raw_Data[[#This Row],[Table_Vacated_Time]])),NOT(ISNUMBER(Raw_Data[[#This Row],[Seating_Time]])))," ",Raw_Data[[#This Row],[Table_Vacated_Time]]-Raw_Data[[#This Row],[Seating_Time]])</f>
        <v>4.0972222217533272E-2</v>
      </c>
      <c r="K20">
        <v>1250.5899999999999</v>
      </c>
      <c r="L20" s="1" t="s">
        <v>28</v>
      </c>
      <c r="M20" s="1" t="s">
        <v>59</v>
      </c>
      <c r="N20" s="1" t="s">
        <v>20</v>
      </c>
      <c r="O20" s="1"/>
      <c r="P20" s="1" t="s">
        <v>34</v>
      </c>
      <c r="Q20" s="1" t="s">
        <v>26</v>
      </c>
      <c r="R20">
        <v>2</v>
      </c>
    </row>
    <row r="21" spans="1:18" x14ac:dyDescent="0.25">
      <c r="A21" s="1" t="s">
        <v>60</v>
      </c>
      <c r="B21" s="4">
        <v>46252</v>
      </c>
      <c r="C21" s="2">
        <v>0.85763888888888884</v>
      </c>
      <c r="D21">
        <v>2</v>
      </c>
      <c r="E21" s="3">
        <v>46252.857638888891</v>
      </c>
      <c r="F21" s="3">
        <v>46252.863888888889</v>
      </c>
      <c r="G21" s="3">
        <v>46252.876388888886</v>
      </c>
      <c r="H21" s="3">
        <v>46252.892361111109</v>
      </c>
      <c r="I21" s="3">
        <v>46252.9</v>
      </c>
      <c r="J21" s="6">
        <f>IF(OR(NOT(ISNUMBER(Raw_Data[[#This Row],[Table_Vacated_Time]])),NOT(ISNUMBER(Raw_Data[[#This Row],[Seating_Time]])))," ",Raw_Data[[#This Row],[Table_Vacated_Time]]-Raw_Data[[#This Row],[Seating_Time]])</f>
        <v>4.2361111110949423E-2</v>
      </c>
      <c r="K21">
        <v>613.23</v>
      </c>
      <c r="L21" s="1" t="s">
        <v>28</v>
      </c>
      <c r="M21" s="1" t="s">
        <v>22</v>
      </c>
      <c r="N21" s="1" t="s">
        <v>33</v>
      </c>
      <c r="O21" s="1" t="s">
        <v>277</v>
      </c>
      <c r="P21" s="1" t="s">
        <v>34</v>
      </c>
      <c r="Q21" s="1" t="s">
        <v>24</v>
      </c>
      <c r="R21">
        <v>7</v>
      </c>
    </row>
    <row r="22" spans="1:18" x14ac:dyDescent="0.25">
      <c r="A22" s="1" t="s">
        <v>61</v>
      </c>
      <c r="B22" s="4">
        <v>46251</v>
      </c>
      <c r="C22" s="2">
        <v>0.90277777777777779</v>
      </c>
      <c r="D22">
        <v>2</v>
      </c>
      <c r="E22" s="3">
        <v>46251.902777777781</v>
      </c>
      <c r="F22" s="3">
        <v>46251.911805555559</v>
      </c>
      <c r="G22" s="3">
        <v>46251.921527777777</v>
      </c>
      <c r="H22" s="3">
        <v>46251.943055555559</v>
      </c>
      <c r="I22" s="3">
        <v>46251.945138888892</v>
      </c>
      <c r="J22" s="6">
        <f>IF(OR(NOT(ISNUMBER(Raw_Data[[#This Row],[Table_Vacated_Time]])),NOT(ISNUMBER(Raw_Data[[#This Row],[Seating_Time]])))," ",Raw_Data[[#This Row],[Table_Vacated_Time]]-Raw_Data[[#This Row],[Seating_Time]])</f>
        <v>4.2361111110949423E-2</v>
      </c>
      <c r="K22">
        <v>2196.11</v>
      </c>
      <c r="L22" s="1" t="s">
        <v>31</v>
      </c>
      <c r="M22" s="1" t="s">
        <v>32</v>
      </c>
      <c r="N22" s="1" t="s">
        <v>20</v>
      </c>
      <c r="O22" s="1" t="s">
        <v>277</v>
      </c>
      <c r="P22" s="1" t="s">
        <v>34</v>
      </c>
      <c r="Q22" s="1" t="s">
        <v>32</v>
      </c>
      <c r="R22">
        <v>2</v>
      </c>
    </row>
    <row r="23" spans="1:18" x14ac:dyDescent="0.25">
      <c r="A23" s="1" t="s">
        <v>62</v>
      </c>
      <c r="B23" s="4">
        <v>46253</v>
      </c>
      <c r="C23" s="2">
        <v>0.86458333333333337</v>
      </c>
      <c r="D23">
        <v>2</v>
      </c>
      <c r="E23" s="3">
        <v>46253.864583333336</v>
      </c>
      <c r="F23" s="3">
        <v>46253.875</v>
      </c>
      <c r="G23" s="3">
        <v>46253.895833333336</v>
      </c>
      <c r="H23" s="3">
        <v>46253.93472222222</v>
      </c>
      <c r="I23" s="3">
        <v>46253.941666666666</v>
      </c>
      <c r="J23" s="6">
        <f>IF(OR(NOT(ISNUMBER(Raw_Data[[#This Row],[Table_Vacated_Time]])),NOT(ISNUMBER(Raw_Data[[#This Row],[Seating_Time]])))," ",Raw_Data[[#This Row],[Table_Vacated_Time]]-Raw_Data[[#This Row],[Seating_Time]])</f>
        <v>7.7083333329937886E-2</v>
      </c>
      <c r="K23">
        <v>1265.82</v>
      </c>
      <c r="L23" s="1" t="s">
        <v>31</v>
      </c>
      <c r="M23" s="1" t="s">
        <v>32</v>
      </c>
      <c r="N23" s="1" t="s">
        <v>25</v>
      </c>
      <c r="O23" s="1" t="s">
        <v>279</v>
      </c>
      <c r="P23" s="1" t="s">
        <v>29</v>
      </c>
      <c r="Q23" s="1" t="s">
        <v>42</v>
      </c>
      <c r="R23">
        <v>14</v>
      </c>
    </row>
    <row r="24" spans="1:18" x14ac:dyDescent="0.25">
      <c r="A24" s="1" t="s">
        <v>63</v>
      </c>
      <c r="B24" s="4">
        <v>46239</v>
      </c>
      <c r="C24" s="2">
        <v>0.84722222222222221</v>
      </c>
      <c r="E24" s="3">
        <v>46239.847222222219</v>
      </c>
      <c r="F24" s="3">
        <v>46239.859027777777</v>
      </c>
      <c r="G24" s="3">
        <v>46239.868750000001</v>
      </c>
      <c r="H24" s="3">
        <v>46239.882638888892</v>
      </c>
      <c r="I24" s="3">
        <v>46239.888888888891</v>
      </c>
      <c r="J24" s="6">
        <f>IF(OR(NOT(ISNUMBER(Raw_Data[[#This Row],[Table_Vacated_Time]])),NOT(ISNUMBER(Raw_Data[[#This Row],[Seating_Time]])))," ",Raw_Data[[#This Row],[Table_Vacated_Time]]-Raw_Data[[#This Row],[Seating_Time]])</f>
        <v>4.1666666671517305E-2</v>
      </c>
      <c r="K24">
        <v>1907.14</v>
      </c>
      <c r="L24" s="1" t="s">
        <v>18</v>
      </c>
      <c r="M24" s="1" t="s">
        <v>19</v>
      </c>
      <c r="N24" s="1" t="s">
        <v>33</v>
      </c>
      <c r="O24" s="1" t="s">
        <v>278</v>
      </c>
      <c r="P24" s="1" t="s">
        <v>21</v>
      </c>
      <c r="Q24" s="1" t="s">
        <v>39</v>
      </c>
      <c r="R24">
        <v>11</v>
      </c>
    </row>
    <row r="25" spans="1:18" x14ac:dyDescent="0.25">
      <c r="A25" s="1" t="s">
        <v>64</v>
      </c>
      <c r="B25" s="4">
        <v>46243</v>
      </c>
      <c r="C25" s="2">
        <v>0.51736111111111116</v>
      </c>
      <c r="D25">
        <v>2</v>
      </c>
      <c r="E25" s="3">
        <v>46243.517361111109</v>
      </c>
      <c r="F25" s="3">
        <v>46243.524305555555</v>
      </c>
      <c r="G25" s="3">
        <v>46243.538888888892</v>
      </c>
      <c r="H25" s="3">
        <v>46243.55972222222</v>
      </c>
      <c r="I25" s="3">
        <v>46243.565972222219</v>
      </c>
      <c r="J25" s="6">
        <f>IF(OR(NOT(ISNUMBER(Raw_Data[[#This Row],[Table_Vacated_Time]])),NOT(ISNUMBER(Raw_Data[[#This Row],[Seating_Time]])))," ",Raw_Data[[#This Row],[Table_Vacated_Time]]-Raw_Data[[#This Row],[Seating_Time]])</f>
        <v>4.8611111109494232E-2</v>
      </c>
      <c r="K25">
        <v>606.39</v>
      </c>
      <c r="L25" s="1" t="s">
        <v>31</v>
      </c>
      <c r="M25" s="1" t="s">
        <v>59</v>
      </c>
      <c r="N25" s="1" t="s">
        <v>33</v>
      </c>
      <c r="O25" s="1"/>
      <c r="P25" s="1" t="s">
        <v>34</v>
      </c>
      <c r="Q25" s="1" t="s">
        <v>36</v>
      </c>
      <c r="R25">
        <v>8</v>
      </c>
    </row>
    <row r="26" spans="1:18" x14ac:dyDescent="0.25">
      <c r="A26" s="1" t="s">
        <v>65</v>
      </c>
      <c r="B26" s="4">
        <v>46264</v>
      </c>
      <c r="C26" s="2">
        <v>0.84027777777777779</v>
      </c>
      <c r="D26">
        <v>4</v>
      </c>
      <c r="E26" s="3">
        <v>46264.840277777781</v>
      </c>
      <c r="F26" s="3">
        <v>46264.844444444447</v>
      </c>
      <c r="G26" s="3">
        <v>46264.868750000001</v>
      </c>
      <c r="H26" s="3">
        <v>46264.906944444447</v>
      </c>
      <c r="I26" s="3">
        <v>46264.909722222219</v>
      </c>
      <c r="J26" s="6">
        <f>IF(OR(NOT(ISNUMBER(Raw_Data[[#This Row],[Table_Vacated_Time]])),NOT(ISNUMBER(Raw_Data[[#This Row],[Seating_Time]])))," ",Raw_Data[[#This Row],[Table_Vacated_Time]]-Raw_Data[[#This Row],[Seating_Time]])</f>
        <v>6.9444444437976927E-2</v>
      </c>
      <c r="K26">
        <v>1330.59</v>
      </c>
      <c r="L26" s="1" t="s">
        <v>18</v>
      </c>
      <c r="M26" s="1" t="s">
        <v>32</v>
      </c>
      <c r="N26" s="1" t="s">
        <v>25</v>
      </c>
      <c r="O26" s="1" t="s">
        <v>279</v>
      </c>
      <c r="P26" s="1" t="s">
        <v>34</v>
      </c>
      <c r="Q26" s="1" t="s">
        <v>66</v>
      </c>
      <c r="R26">
        <v>4</v>
      </c>
    </row>
    <row r="27" spans="1:18" x14ac:dyDescent="0.25">
      <c r="A27" s="1" t="s">
        <v>67</v>
      </c>
      <c r="B27" s="4">
        <v>46262</v>
      </c>
      <c r="C27" s="2">
        <v>0.56597222222222221</v>
      </c>
      <c r="D27">
        <v>4</v>
      </c>
      <c r="E27" s="3">
        <v>46262.565972222219</v>
      </c>
      <c r="F27" s="3">
        <v>46262.570138888892</v>
      </c>
      <c r="G27" s="3">
        <v>46262.592361111114</v>
      </c>
      <c r="H27" s="3">
        <v>46262.625</v>
      </c>
      <c r="I27" s="3">
        <v>46262.635416666664</v>
      </c>
      <c r="J27" s="6">
        <f>IF(OR(NOT(ISNUMBER(Raw_Data[[#This Row],[Table_Vacated_Time]])),NOT(ISNUMBER(Raw_Data[[#This Row],[Seating_Time]])))," ",Raw_Data[[#This Row],[Table_Vacated_Time]]-Raw_Data[[#This Row],[Seating_Time]])</f>
        <v>6.9444444445252884E-2</v>
      </c>
      <c r="K27">
        <v>1691.01</v>
      </c>
      <c r="L27" s="1" t="s">
        <v>28</v>
      </c>
      <c r="M27" s="1" t="s">
        <v>22</v>
      </c>
      <c r="N27" s="1" t="s">
        <v>41</v>
      </c>
      <c r="O27" s="1"/>
      <c r="P27" s="1" t="s">
        <v>29</v>
      </c>
      <c r="Q27" s="1" t="s">
        <v>44</v>
      </c>
      <c r="R27">
        <v>2</v>
      </c>
    </row>
    <row r="28" spans="1:18" x14ac:dyDescent="0.25">
      <c r="A28" s="1" t="s">
        <v>68</v>
      </c>
      <c r="B28" s="4">
        <v>46258</v>
      </c>
      <c r="C28" s="2">
        <v>0.82986111111111116</v>
      </c>
      <c r="D28">
        <v>5</v>
      </c>
      <c r="E28" s="3">
        <v>46258.829861111109</v>
      </c>
      <c r="F28" s="3">
        <v>46258.833333333336</v>
      </c>
      <c r="G28" s="3">
        <v>46258.84375</v>
      </c>
      <c r="H28" s="3">
        <v>46258.86041666667</v>
      </c>
      <c r="I28" s="3">
        <v>46258.869444444441</v>
      </c>
      <c r="J28" s="6">
        <f>IF(OR(NOT(ISNUMBER(Raw_Data[[#This Row],[Table_Vacated_Time]])),NOT(ISNUMBER(Raw_Data[[#This Row],[Seating_Time]])))," ",Raw_Data[[#This Row],[Table_Vacated_Time]]-Raw_Data[[#This Row],[Seating_Time]])</f>
        <v>3.9583333331393078E-2</v>
      </c>
      <c r="K28">
        <v>1116.95</v>
      </c>
      <c r="L28" s="1" t="s">
        <v>18</v>
      </c>
      <c r="M28" s="1" t="s">
        <v>44</v>
      </c>
      <c r="N28" s="1" t="s">
        <v>25</v>
      </c>
      <c r="O28" s="1" t="s">
        <v>278</v>
      </c>
      <c r="P28" s="1" t="s">
        <v>34</v>
      </c>
      <c r="Q28" s="1" t="s">
        <v>44</v>
      </c>
      <c r="R28">
        <v>18</v>
      </c>
    </row>
    <row r="29" spans="1:18" x14ac:dyDescent="0.25">
      <c r="A29" s="1" t="s">
        <v>69</v>
      </c>
      <c r="B29" s="4">
        <v>46248</v>
      </c>
      <c r="C29" s="2">
        <v>0.51388888888888884</v>
      </c>
      <c r="D29">
        <v>4</v>
      </c>
      <c r="E29" s="3">
        <v>46248.513888888891</v>
      </c>
      <c r="F29" s="3">
        <v>46248.520833333336</v>
      </c>
      <c r="G29" s="3">
        <v>46248.533333333333</v>
      </c>
      <c r="H29" s="3">
        <v>46248.57708333333</v>
      </c>
      <c r="I29" s="3">
        <v>46248.580555555556</v>
      </c>
      <c r="J29" s="6">
        <f>IF(OR(NOT(ISNUMBER(Raw_Data[[#This Row],[Table_Vacated_Time]])),NOT(ISNUMBER(Raw_Data[[#This Row],[Seating_Time]])))," ",Raw_Data[[#This Row],[Table_Vacated_Time]]-Raw_Data[[#This Row],[Seating_Time]])</f>
        <v>6.6666666665696539E-2</v>
      </c>
      <c r="K29">
        <v>1836.63</v>
      </c>
      <c r="L29" s="1" t="s">
        <v>31</v>
      </c>
      <c r="M29" s="1" t="s">
        <v>38</v>
      </c>
      <c r="N29" s="1" t="s">
        <v>41</v>
      </c>
      <c r="O29" s="1" t="s">
        <v>279</v>
      </c>
      <c r="P29" s="1" t="s">
        <v>21</v>
      </c>
      <c r="Q29" s="1" t="s">
        <v>26</v>
      </c>
      <c r="R29">
        <v>2</v>
      </c>
    </row>
    <row r="30" spans="1:18" x14ac:dyDescent="0.25">
      <c r="A30" s="1" t="s">
        <v>70</v>
      </c>
      <c r="B30" s="4">
        <v>46260</v>
      </c>
      <c r="C30" s="2">
        <v>0.5625</v>
      </c>
      <c r="D30">
        <v>1</v>
      </c>
      <c r="E30" s="3">
        <v>46260.5625</v>
      </c>
      <c r="F30" s="3">
        <v>46260.573611111111</v>
      </c>
      <c r="G30" s="3">
        <v>46260.588888888888</v>
      </c>
      <c r="H30" s="3">
        <v>46260.620833333334</v>
      </c>
      <c r="I30" s="3">
        <v>46260.630555555559</v>
      </c>
      <c r="J30" s="6">
        <f>IF(OR(NOT(ISNUMBER(Raw_Data[[#This Row],[Table_Vacated_Time]])),NOT(ISNUMBER(Raw_Data[[#This Row],[Seating_Time]])))," ",Raw_Data[[#This Row],[Table_Vacated_Time]]-Raw_Data[[#This Row],[Seating_Time]])</f>
        <v>6.805555555911269E-2</v>
      </c>
      <c r="K30">
        <v>939.65</v>
      </c>
      <c r="L30" s="1" t="s">
        <v>31</v>
      </c>
      <c r="M30" s="1" t="s">
        <v>32</v>
      </c>
      <c r="N30" s="1" t="s">
        <v>25</v>
      </c>
      <c r="O30" s="1" t="s">
        <v>279</v>
      </c>
      <c r="P30" s="1" t="s">
        <v>34</v>
      </c>
      <c r="Q30" s="1" t="s">
        <v>22</v>
      </c>
      <c r="R30">
        <v>6</v>
      </c>
    </row>
    <row r="31" spans="1:18" x14ac:dyDescent="0.25">
      <c r="A31" s="1" t="s">
        <v>71</v>
      </c>
      <c r="B31" s="4">
        <v>46247</v>
      </c>
      <c r="C31" s="2">
        <v>0.89930555555555558</v>
      </c>
      <c r="D31">
        <v>3</v>
      </c>
      <c r="E31" s="3">
        <v>46247.899305555555</v>
      </c>
      <c r="F31" s="3">
        <v>46247.911805555559</v>
      </c>
      <c r="G31" s="3">
        <v>46247.929861111108</v>
      </c>
      <c r="H31" s="3">
        <v>46247.959027777775</v>
      </c>
      <c r="I31" s="3">
        <v>46247.963194444441</v>
      </c>
      <c r="J31" s="6">
        <f>IF(OR(NOT(ISNUMBER(Raw_Data[[#This Row],[Table_Vacated_Time]])),NOT(ISNUMBER(Raw_Data[[#This Row],[Seating_Time]])))," ",Raw_Data[[#This Row],[Table_Vacated_Time]]-Raw_Data[[#This Row],[Seating_Time]])</f>
        <v>6.3888888886140194E-2</v>
      </c>
      <c r="K31">
        <v>1349.57</v>
      </c>
      <c r="L31" s="1" t="s">
        <v>18</v>
      </c>
      <c r="M31" s="1" t="s">
        <v>19</v>
      </c>
      <c r="N31" s="1" t="s">
        <v>33</v>
      </c>
      <c r="O31" s="1"/>
      <c r="P31" s="1" t="s">
        <v>21</v>
      </c>
      <c r="Q31" s="1" t="s">
        <v>42</v>
      </c>
      <c r="R31">
        <v>7</v>
      </c>
    </row>
    <row r="32" spans="1:18" x14ac:dyDescent="0.25">
      <c r="A32" s="1" t="s">
        <v>72</v>
      </c>
      <c r="B32" s="4">
        <v>46245</v>
      </c>
      <c r="C32" s="2">
        <v>0.58680555555555558</v>
      </c>
      <c r="D32">
        <v>4</v>
      </c>
      <c r="E32" s="3">
        <v>46245.586805555555</v>
      </c>
      <c r="F32" s="3">
        <v>46245.597222222219</v>
      </c>
      <c r="G32" s="3">
        <v>46245.616666666669</v>
      </c>
      <c r="H32" s="3">
        <v>46245.647916666669</v>
      </c>
      <c r="I32" s="3">
        <v>46245.65625</v>
      </c>
      <c r="J32" s="6">
        <f>IF(OR(NOT(ISNUMBER(Raw_Data[[#This Row],[Table_Vacated_Time]])),NOT(ISNUMBER(Raw_Data[[#This Row],[Seating_Time]])))," ",Raw_Data[[#This Row],[Table_Vacated_Time]]-Raw_Data[[#This Row],[Seating_Time]])</f>
        <v>6.9444444445252884E-2</v>
      </c>
      <c r="K32">
        <v>1299.06</v>
      </c>
      <c r="L32" s="1" t="s">
        <v>18</v>
      </c>
      <c r="M32" s="1" t="s">
        <v>22</v>
      </c>
      <c r="N32" s="1" t="s">
        <v>33</v>
      </c>
      <c r="O32" s="1" t="s">
        <v>277</v>
      </c>
      <c r="P32" s="1" t="s">
        <v>29</v>
      </c>
      <c r="Q32" s="1" t="s">
        <v>44</v>
      </c>
      <c r="R32">
        <v>12</v>
      </c>
    </row>
    <row r="33" spans="1:18" x14ac:dyDescent="0.25">
      <c r="A33" s="1" t="s">
        <v>73</v>
      </c>
      <c r="B33" s="4">
        <v>46253</v>
      </c>
      <c r="C33" s="2">
        <v>0.93055555555555558</v>
      </c>
      <c r="D33">
        <v>1</v>
      </c>
      <c r="E33" s="3">
        <v>46253.930555555555</v>
      </c>
      <c r="F33" s="3">
        <v>46253.94027777778</v>
      </c>
      <c r="G33" s="3">
        <v>46253.957638888889</v>
      </c>
      <c r="H33" s="3"/>
      <c r="I33" s="3"/>
      <c r="J33" s="6" t="str">
        <f>IF(OR(NOT(ISNUMBER(Raw_Data[[#This Row],[Table_Vacated_Time]])),NOT(ISNUMBER(Raw_Data[[#This Row],[Seating_Time]])))," ",Raw_Data[[#This Row],[Table_Vacated_Time]]-Raw_Data[[#This Row],[Seating_Time]])</f>
        <v xml:space="preserve"> </v>
      </c>
      <c r="K33">
        <v>2288.75</v>
      </c>
      <c r="L33" s="1" t="s">
        <v>28</v>
      </c>
      <c r="M33" s="1" t="s">
        <v>19</v>
      </c>
      <c r="N33" s="1" t="s">
        <v>20</v>
      </c>
      <c r="O33" s="1" t="s">
        <v>278</v>
      </c>
      <c r="P33" s="1" t="s">
        <v>21</v>
      </c>
      <c r="Q33" s="1" t="s">
        <v>36</v>
      </c>
      <c r="R33">
        <v>4</v>
      </c>
    </row>
    <row r="34" spans="1:18" x14ac:dyDescent="0.25">
      <c r="A34" s="1" t="s">
        <v>74</v>
      </c>
      <c r="B34" s="4">
        <v>46236</v>
      </c>
      <c r="C34" s="2">
        <v>0.83333333333333337</v>
      </c>
      <c r="D34">
        <v>7</v>
      </c>
      <c r="E34" s="3">
        <v>46236.833333333336</v>
      </c>
      <c r="F34" s="3">
        <v>46236.84375</v>
      </c>
      <c r="G34" s="3">
        <v>46236.868055555555</v>
      </c>
      <c r="H34" s="3">
        <v>46236.911111111112</v>
      </c>
      <c r="I34" s="3">
        <v>46236.914583333331</v>
      </c>
      <c r="J34" s="6">
        <f>IF(OR(NOT(ISNUMBER(Raw_Data[[#This Row],[Table_Vacated_Time]])),NOT(ISNUMBER(Raw_Data[[#This Row],[Seating_Time]])))," ",Raw_Data[[#This Row],[Table_Vacated_Time]]-Raw_Data[[#This Row],[Seating_Time]])</f>
        <v>8.1249999995634425E-2</v>
      </c>
      <c r="K34">
        <v>1982.58</v>
      </c>
      <c r="L34" s="1" t="s">
        <v>28</v>
      </c>
      <c r="M34" s="1" t="s">
        <v>22</v>
      </c>
      <c r="N34" s="1" t="s">
        <v>25</v>
      </c>
      <c r="O34" s="1"/>
      <c r="P34" s="1" t="s">
        <v>21</v>
      </c>
      <c r="Q34" s="1" t="s">
        <v>48</v>
      </c>
      <c r="R34">
        <v>18</v>
      </c>
    </row>
    <row r="35" spans="1:18" x14ac:dyDescent="0.25">
      <c r="A35" s="1" t="s">
        <v>75</v>
      </c>
      <c r="B35" s="4">
        <v>46263</v>
      </c>
      <c r="C35" s="2">
        <v>0.59722222222222221</v>
      </c>
      <c r="D35">
        <v>5</v>
      </c>
      <c r="E35" s="3">
        <v>46263.597222222219</v>
      </c>
      <c r="F35" s="3">
        <v>46263.604861111111</v>
      </c>
      <c r="G35" s="3">
        <v>46263.628472222219</v>
      </c>
      <c r="H35" s="3">
        <v>46263.654861111114</v>
      </c>
      <c r="I35" s="3">
        <v>46263.661805555559</v>
      </c>
      <c r="J35" s="6">
        <f>IF(OR(NOT(ISNUMBER(Raw_Data[[#This Row],[Table_Vacated_Time]])),NOT(ISNUMBER(Raw_Data[[#This Row],[Seating_Time]])))," ",Raw_Data[[#This Row],[Table_Vacated_Time]]-Raw_Data[[#This Row],[Seating_Time]])</f>
        <v>6.4583333340124227E-2</v>
      </c>
      <c r="K35">
        <v>1168.26</v>
      </c>
      <c r="L35" s="1" t="s">
        <v>28</v>
      </c>
      <c r="M35" s="1" t="s">
        <v>38</v>
      </c>
      <c r="N35" s="1" t="s">
        <v>41</v>
      </c>
      <c r="O35" s="1" t="s">
        <v>278</v>
      </c>
      <c r="P35" s="1" t="s">
        <v>34</v>
      </c>
      <c r="Q35" s="1" t="s">
        <v>36</v>
      </c>
      <c r="R35">
        <v>11</v>
      </c>
    </row>
    <row r="36" spans="1:18" x14ac:dyDescent="0.25">
      <c r="A36" s="1" t="s">
        <v>76</v>
      </c>
      <c r="B36" s="4">
        <v>46247</v>
      </c>
      <c r="C36" s="2">
        <v>0.79166666666666663</v>
      </c>
      <c r="D36">
        <v>4</v>
      </c>
      <c r="E36" s="3">
        <v>46247.791666666664</v>
      </c>
      <c r="F36" s="3">
        <v>46247.797222222223</v>
      </c>
      <c r="G36" s="3">
        <v>46247.814583333333</v>
      </c>
      <c r="H36" s="3">
        <v>46247.854166666664</v>
      </c>
      <c r="I36" s="3">
        <v>46247.861805555556</v>
      </c>
      <c r="J36" s="6">
        <f>IF(OR(NOT(ISNUMBER(Raw_Data[[#This Row],[Table_Vacated_Time]])),NOT(ISNUMBER(Raw_Data[[#This Row],[Seating_Time]])))," ",Raw_Data[[#This Row],[Table_Vacated_Time]]-Raw_Data[[#This Row],[Seating_Time]])</f>
        <v>7.013888889196096E-2</v>
      </c>
      <c r="K36">
        <v>2082.4</v>
      </c>
      <c r="L36" s="1" t="s">
        <v>28</v>
      </c>
      <c r="M36" s="1" t="s">
        <v>24</v>
      </c>
      <c r="N36" s="1" t="s">
        <v>20</v>
      </c>
      <c r="O36" s="1"/>
      <c r="P36" s="1" t="s">
        <v>21</v>
      </c>
      <c r="Q36" s="1" t="s">
        <v>39</v>
      </c>
      <c r="R36">
        <v>10</v>
      </c>
    </row>
    <row r="37" spans="1:18" x14ac:dyDescent="0.25">
      <c r="A37" s="1" t="s">
        <v>77</v>
      </c>
      <c r="B37" s="4">
        <v>46250</v>
      </c>
      <c r="C37" s="2">
        <v>0.91319444444444442</v>
      </c>
      <c r="D37">
        <v>2</v>
      </c>
      <c r="E37" s="3">
        <v>46250.913194444445</v>
      </c>
      <c r="F37" s="3">
        <v>46250.919444444444</v>
      </c>
      <c r="G37" s="3">
        <v>46250.938888888886</v>
      </c>
      <c r="H37" s="3">
        <v>46250.981944444444</v>
      </c>
      <c r="I37" s="3">
        <v>46250.990277777775</v>
      </c>
      <c r="J37" s="6">
        <f>IF(OR(NOT(ISNUMBER(Raw_Data[[#This Row],[Table_Vacated_Time]])),NOT(ISNUMBER(Raw_Data[[#This Row],[Seating_Time]])))," ",Raw_Data[[#This Row],[Table_Vacated_Time]]-Raw_Data[[#This Row],[Seating_Time]])</f>
        <v>7.7083333329937886E-2</v>
      </c>
      <c r="K37">
        <v>718.54</v>
      </c>
      <c r="L37" s="1" t="s">
        <v>28</v>
      </c>
      <c r="M37" s="1" t="s">
        <v>32</v>
      </c>
      <c r="N37" s="1" t="s">
        <v>25</v>
      </c>
      <c r="O37" s="1" t="s">
        <v>279</v>
      </c>
      <c r="P37" s="1" t="s">
        <v>21</v>
      </c>
      <c r="Q37" s="1" t="s">
        <v>44</v>
      </c>
      <c r="R37">
        <v>3</v>
      </c>
    </row>
    <row r="38" spans="1:18" x14ac:dyDescent="0.25">
      <c r="A38" s="1" t="s">
        <v>78</v>
      </c>
      <c r="B38" s="4">
        <v>46235</v>
      </c>
      <c r="C38" s="2">
        <v>0.4826388888888889</v>
      </c>
      <c r="D38">
        <v>8</v>
      </c>
      <c r="E38" s="3">
        <v>46235.482638888891</v>
      </c>
      <c r="F38" s="3">
        <v>46235.490972222222</v>
      </c>
      <c r="G38" s="3">
        <v>46235.508333333331</v>
      </c>
      <c r="H38" s="3">
        <v>46235.55</v>
      </c>
      <c r="I38" s="3">
        <v>46235.557638888888</v>
      </c>
      <c r="J38" s="6">
        <f>IF(OR(NOT(ISNUMBER(Raw_Data[[#This Row],[Table_Vacated_Time]])),NOT(ISNUMBER(Raw_Data[[#This Row],[Seating_Time]])))," ",Raw_Data[[#This Row],[Table_Vacated_Time]]-Raw_Data[[#This Row],[Seating_Time]])</f>
        <v>7.4999999997089617E-2</v>
      </c>
      <c r="K38">
        <v>2224.87</v>
      </c>
      <c r="L38" s="1" t="s">
        <v>31</v>
      </c>
      <c r="M38" s="1" t="s">
        <v>38</v>
      </c>
      <c r="N38" s="1" t="s">
        <v>20</v>
      </c>
      <c r="O38" s="1" t="s">
        <v>281</v>
      </c>
      <c r="P38" s="1" t="s">
        <v>21</v>
      </c>
      <c r="Q38" s="1" t="s">
        <v>44</v>
      </c>
      <c r="R38">
        <v>3</v>
      </c>
    </row>
    <row r="39" spans="1:18" x14ac:dyDescent="0.25">
      <c r="A39" s="1" t="s">
        <v>79</v>
      </c>
      <c r="B39" s="4">
        <v>46255</v>
      </c>
      <c r="C39" s="2">
        <v>0.83680555555555558</v>
      </c>
      <c r="D39">
        <v>5</v>
      </c>
      <c r="E39" s="3">
        <v>46255.836805555555</v>
      </c>
      <c r="F39" s="3">
        <v>46255.841666666667</v>
      </c>
      <c r="G39" s="3">
        <v>46255.867361111108</v>
      </c>
      <c r="H39" s="3">
        <v>46255.911805555559</v>
      </c>
      <c r="I39" s="3">
        <v>46255.918749999997</v>
      </c>
      <c r="J39" s="6">
        <f>IF(OR(NOT(ISNUMBER(Raw_Data[[#This Row],[Table_Vacated_Time]])),NOT(ISNUMBER(Raw_Data[[#This Row],[Seating_Time]])))," ",Raw_Data[[#This Row],[Table_Vacated_Time]]-Raw_Data[[#This Row],[Seating_Time]])</f>
        <v>8.1944444442342501E-2</v>
      </c>
      <c r="K39">
        <v>850</v>
      </c>
      <c r="L39" s="1" t="s">
        <v>18</v>
      </c>
      <c r="M39" s="1" t="s">
        <v>32</v>
      </c>
      <c r="N39" s="1" t="s">
        <v>33</v>
      </c>
      <c r="O39" s="1" t="s">
        <v>281</v>
      </c>
      <c r="P39" s="1" t="s">
        <v>21</v>
      </c>
      <c r="Q39" s="1" t="s">
        <v>26</v>
      </c>
      <c r="R39">
        <v>8</v>
      </c>
    </row>
    <row r="40" spans="1:18" x14ac:dyDescent="0.25">
      <c r="A40" s="1" t="s">
        <v>80</v>
      </c>
      <c r="B40" s="4">
        <v>46249</v>
      </c>
      <c r="C40" s="2">
        <v>0.86111111111111116</v>
      </c>
      <c r="D40">
        <v>8</v>
      </c>
      <c r="E40" s="3">
        <v>46249.861111111109</v>
      </c>
      <c r="F40" s="3">
        <v>46249.872916666667</v>
      </c>
      <c r="G40" s="3">
        <v>46249.890972222223</v>
      </c>
      <c r="H40" s="3">
        <v>46249.931944444441</v>
      </c>
      <c r="I40" s="3">
        <v>46249.942361111112</v>
      </c>
      <c r="J40" s="6">
        <f>IF(OR(NOT(ISNUMBER(Raw_Data[[#This Row],[Table_Vacated_Time]])),NOT(ISNUMBER(Raw_Data[[#This Row],[Seating_Time]])))," ",Raw_Data[[#This Row],[Table_Vacated_Time]]-Raw_Data[[#This Row],[Seating_Time]])</f>
        <v>8.1250000002910383E-2</v>
      </c>
      <c r="K40">
        <v>1379.5</v>
      </c>
      <c r="L40" s="1" t="s">
        <v>18</v>
      </c>
      <c r="M40" s="1" t="s">
        <v>38</v>
      </c>
      <c r="N40" s="1" t="s">
        <v>20</v>
      </c>
      <c r="O40" s="1" t="s">
        <v>279</v>
      </c>
      <c r="P40" s="1" t="s">
        <v>34</v>
      </c>
      <c r="Q40" s="1" t="s">
        <v>81</v>
      </c>
      <c r="R40">
        <v>11</v>
      </c>
    </row>
    <row r="41" spans="1:18" x14ac:dyDescent="0.25">
      <c r="A41" s="1" t="s">
        <v>82</v>
      </c>
      <c r="B41" s="4">
        <v>46250</v>
      </c>
      <c r="C41" s="2">
        <v>0.80208333333333337</v>
      </c>
      <c r="D41">
        <v>4</v>
      </c>
      <c r="E41" s="3">
        <v>46250.802083333336</v>
      </c>
      <c r="F41" s="3">
        <v>46250.810416666667</v>
      </c>
      <c r="G41" s="3">
        <v>46250.832638888889</v>
      </c>
      <c r="H41" s="3">
        <v>46250.856944444444</v>
      </c>
      <c r="I41" s="3">
        <v>46250.861111111109</v>
      </c>
      <c r="J41" s="6">
        <f>IF(OR(NOT(ISNUMBER(Raw_Data[[#This Row],[Table_Vacated_Time]])),NOT(ISNUMBER(Raw_Data[[#This Row],[Seating_Time]])))," ",Raw_Data[[#This Row],[Table_Vacated_Time]]-Raw_Data[[#This Row],[Seating_Time]])</f>
        <v>5.9027777773735579E-2</v>
      </c>
      <c r="K41">
        <v>1738.27</v>
      </c>
      <c r="L41" s="1" t="s">
        <v>31</v>
      </c>
      <c r="M41" s="1" t="s">
        <v>59</v>
      </c>
      <c r="N41" s="1" t="s">
        <v>41</v>
      </c>
      <c r="O41" s="1" t="s">
        <v>280</v>
      </c>
      <c r="P41" s="1" t="s">
        <v>29</v>
      </c>
      <c r="Q41" s="1" t="s">
        <v>19</v>
      </c>
      <c r="R41">
        <v>17</v>
      </c>
    </row>
    <row r="42" spans="1:18" x14ac:dyDescent="0.25">
      <c r="A42" s="1" t="s">
        <v>83</v>
      </c>
      <c r="B42" s="4">
        <v>46263</v>
      </c>
      <c r="C42" s="2">
        <v>0.79861111111111116</v>
      </c>
      <c r="D42">
        <v>2</v>
      </c>
      <c r="E42" s="3">
        <v>46263.798611111109</v>
      </c>
      <c r="F42" s="3">
        <v>46263.806250000001</v>
      </c>
      <c r="G42" s="3">
        <v>46263.829861111109</v>
      </c>
      <c r="H42" s="3">
        <v>46263.85</v>
      </c>
      <c r="I42" s="3">
        <v>46263.859027777777</v>
      </c>
      <c r="J42" s="6">
        <f>IF(OR(NOT(ISNUMBER(Raw_Data[[#This Row],[Table_Vacated_Time]])),NOT(ISNUMBER(Raw_Data[[#This Row],[Seating_Time]])))," ",Raw_Data[[#This Row],[Table_Vacated_Time]]-Raw_Data[[#This Row],[Seating_Time]])</f>
        <v>6.0416666667151731E-2</v>
      </c>
      <c r="L42" s="1" t="s">
        <v>28</v>
      </c>
      <c r="M42" s="1" t="s">
        <v>38</v>
      </c>
      <c r="N42" s="1" t="s">
        <v>25</v>
      </c>
      <c r="O42" s="1" t="s">
        <v>278</v>
      </c>
      <c r="P42" s="1" t="s">
        <v>29</v>
      </c>
      <c r="Q42" s="1" t="s">
        <v>42</v>
      </c>
      <c r="R42">
        <v>8</v>
      </c>
    </row>
    <row r="43" spans="1:18" x14ac:dyDescent="0.25">
      <c r="A43" s="1" t="s">
        <v>84</v>
      </c>
      <c r="B43" s="4">
        <v>46236</v>
      </c>
      <c r="C43" s="2">
        <v>0.5625</v>
      </c>
      <c r="D43">
        <v>5</v>
      </c>
      <c r="E43" s="3">
        <v>46236.5625</v>
      </c>
      <c r="F43" s="3">
        <v>46236.573611111111</v>
      </c>
      <c r="G43" s="3">
        <v>46236.581944444442</v>
      </c>
      <c r="H43" s="3">
        <v>46236.620833333334</v>
      </c>
      <c r="I43" s="3">
        <v>46236.626388888886</v>
      </c>
      <c r="J43" s="6">
        <f>IF(OR(NOT(ISNUMBER(Raw_Data[[#This Row],[Table_Vacated_Time]])),NOT(ISNUMBER(Raw_Data[[#This Row],[Seating_Time]])))," ",Raw_Data[[#This Row],[Table_Vacated_Time]]-Raw_Data[[#This Row],[Seating_Time]])</f>
        <v>6.3888888886140194E-2</v>
      </c>
      <c r="K43">
        <v>1844.25</v>
      </c>
      <c r="L43" s="1" t="s">
        <v>31</v>
      </c>
      <c r="M43" s="1" t="s">
        <v>59</v>
      </c>
      <c r="N43" s="1" t="s">
        <v>20</v>
      </c>
      <c r="O43" s="1"/>
      <c r="P43" s="1" t="s">
        <v>29</v>
      </c>
      <c r="Q43" s="1" t="s">
        <v>39</v>
      </c>
      <c r="R43">
        <v>19</v>
      </c>
    </row>
    <row r="44" spans="1:18" x14ac:dyDescent="0.25">
      <c r="A44" s="1" t="s">
        <v>85</v>
      </c>
      <c r="B44" s="4">
        <v>46258</v>
      </c>
      <c r="C44" s="2">
        <v>0.86458333333333337</v>
      </c>
      <c r="D44">
        <v>3</v>
      </c>
      <c r="E44" s="3">
        <v>46258.864583333336</v>
      </c>
      <c r="F44" s="3">
        <v>46258.870138888888</v>
      </c>
      <c r="G44" s="3">
        <v>46258.884027777778</v>
      </c>
      <c r="H44" s="3">
        <v>46258.916666666664</v>
      </c>
      <c r="I44" s="3">
        <v>46258.92291666667</v>
      </c>
      <c r="J44" s="6">
        <f>IF(OR(NOT(ISNUMBER(Raw_Data[[#This Row],[Table_Vacated_Time]])),NOT(ISNUMBER(Raw_Data[[#This Row],[Seating_Time]])))," ",Raw_Data[[#This Row],[Table_Vacated_Time]]-Raw_Data[[#This Row],[Seating_Time]])</f>
        <v>5.8333333334303461E-2</v>
      </c>
      <c r="K44">
        <v>1301.75</v>
      </c>
      <c r="L44" s="1" t="s">
        <v>31</v>
      </c>
      <c r="M44" s="1" t="s">
        <v>38</v>
      </c>
      <c r="N44" s="1" t="s">
        <v>41</v>
      </c>
      <c r="O44" s="1"/>
      <c r="P44" s="1" t="s">
        <v>29</v>
      </c>
      <c r="Q44" s="1" t="s">
        <v>44</v>
      </c>
      <c r="R44">
        <v>16</v>
      </c>
    </row>
    <row r="45" spans="1:18" x14ac:dyDescent="0.25">
      <c r="A45" s="1" t="s">
        <v>86</v>
      </c>
      <c r="B45" s="4">
        <v>46254</v>
      </c>
      <c r="C45" s="2">
        <v>0.8125</v>
      </c>
      <c r="D45">
        <v>8</v>
      </c>
      <c r="E45" s="3">
        <v>46254.8125</v>
      </c>
      <c r="F45" s="3">
        <v>46254.822916666664</v>
      </c>
      <c r="G45" s="3">
        <v>46254.831250000003</v>
      </c>
      <c r="H45" s="3">
        <v>46254.848611111112</v>
      </c>
      <c r="I45" s="3">
        <v>46254.856944444444</v>
      </c>
      <c r="J45" s="6">
        <f>IF(OR(NOT(ISNUMBER(Raw_Data[[#This Row],[Table_Vacated_Time]])),NOT(ISNUMBER(Raw_Data[[#This Row],[Seating_Time]])))," ",Raw_Data[[#This Row],[Table_Vacated_Time]]-Raw_Data[[#This Row],[Seating_Time]])</f>
        <v>4.4444444443797693E-2</v>
      </c>
      <c r="K45">
        <v>1944.39</v>
      </c>
      <c r="L45" s="1" t="s">
        <v>28</v>
      </c>
      <c r="M45" s="1" t="s">
        <v>47</v>
      </c>
      <c r="N45" s="1" t="s">
        <v>33</v>
      </c>
      <c r="O45" s="1" t="s">
        <v>280</v>
      </c>
      <c r="P45" s="1" t="s">
        <v>29</v>
      </c>
      <c r="Q45" s="1" t="s">
        <v>19</v>
      </c>
      <c r="R45">
        <v>19</v>
      </c>
    </row>
    <row r="46" spans="1:18" x14ac:dyDescent="0.25">
      <c r="A46" s="1" t="s">
        <v>87</v>
      </c>
      <c r="B46" s="4">
        <v>46241</v>
      </c>
      <c r="C46" s="2">
        <v>0.80902777777777779</v>
      </c>
      <c r="D46">
        <v>5</v>
      </c>
      <c r="E46" s="3">
        <v>46241.809027777781</v>
      </c>
      <c r="F46" s="3">
        <v>46241.820833333331</v>
      </c>
      <c r="G46" s="3">
        <v>46241.847222222219</v>
      </c>
      <c r="H46" s="3">
        <v>46241.879166666666</v>
      </c>
      <c r="I46" s="3">
        <v>46241.883333333331</v>
      </c>
      <c r="J46" s="6">
        <f>IF(OR(NOT(ISNUMBER(Raw_Data[[#This Row],[Table_Vacated_Time]])),NOT(ISNUMBER(Raw_Data[[#This Row],[Seating_Time]])))," ",Raw_Data[[#This Row],[Table_Vacated_Time]]-Raw_Data[[#This Row],[Seating_Time]])</f>
        <v>7.4305555550381541E-2</v>
      </c>
      <c r="K46">
        <v>936.81</v>
      </c>
      <c r="L46" s="1" t="s">
        <v>28</v>
      </c>
      <c r="M46" s="1" t="s">
        <v>44</v>
      </c>
      <c r="N46" s="1" t="s">
        <v>33</v>
      </c>
      <c r="O46" s="1" t="s">
        <v>280</v>
      </c>
      <c r="P46" s="1" t="s">
        <v>21</v>
      </c>
      <c r="Q46" s="1" t="s">
        <v>66</v>
      </c>
      <c r="R46">
        <v>9</v>
      </c>
    </row>
    <row r="47" spans="1:18" x14ac:dyDescent="0.25">
      <c r="A47" s="1" t="s">
        <v>88</v>
      </c>
      <c r="B47" s="4">
        <v>46237</v>
      </c>
      <c r="C47" s="2">
        <v>0.90972222222222221</v>
      </c>
      <c r="D47">
        <v>1</v>
      </c>
      <c r="E47" s="3">
        <v>46237.909722222219</v>
      </c>
      <c r="F47" s="3">
        <v>46237.915277777778</v>
      </c>
      <c r="G47" s="3">
        <v>46237.927777777775</v>
      </c>
      <c r="H47" s="3">
        <v>46237.942361111112</v>
      </c>
      <c r="I47" s="3">
        <v>46237.95</v>
      </c>
      <c r="J47" s="6">
        <f>IF(OR(NOT(ISNUMBER(Raw_Data[[#This Row],[Table_Vacated_Time]])),NOT(ISNUMBER(Raw_Data[[#This Row],[Seating_Time]])))," ",Raw_Data[[#This Row],[Table_Vacated_Time]]-Raw_Data[[#This Row],[Seating_Time]])</f>
        <v>4.0277777778101154E-2</v>
      </c>
      <c r="K47">
        <v>874.09</v>
      </c>
      <c r="L47" s="1" t="s">
        <v>18</v>
      </c>
      <c r="M47" s="1" t="s">
        <v>24</v>
      </c>
      <c r="N47" s="1" t="s">
        <v>33</v>
      </c>
      <c r="O47" s="1" t="s">
        <v>278</v>
      </c>
      <c r="P47" s="1" t="s">
        <v>21</v>
      </c>
      <c r="Q47" s="1" t="s">
        <v>24</v>
      </c>
      <c r="R47">
        <v>1</v>
      </c>
    </row>
    <row r="48" spans="1:18" x14ac:dyDescent="0.25">
      <c r="A48" s="1" t="s">
        <v>89</v>
      </c>
      <c r="B48" s="4">
        <v>46257</v>
      </c>
      <c r="C48" s="2">
        <v>0.55902777777777779</v>
      </c>
      <c r="D48">
        <v>2</v>
      </c>
      <c r="E48" s="3">
        <v>46257.559027777781</v>
      </c>
      <c r="F48" s="3">
        <v>46257.568749999999</v>
      </c>
      <c r="G48" s="3">
        <v>46257.593055555553</v>
      </c>
      <c r="H48" s="3">
        <v>46257.638194444444</v>
      </c>
      <c r="I48" s="3">
        <v>46257.640277777777</v>
      </c>
      <c r="J48" s="6">
        <f>IF(OR(NOT(ISNUMBER(Raw_Data[[#This Row],[Table_Vacated_Time]])),NOT(ISNUMBER(Raw_Data[[#This Row],[Seating_Time]])))," ",Raw_Data[[#This Row],[Table_Vacated_Time]]-Raw_Data[[#This Row],[Seating_Time]])</f>
        <v>8.1249999995634425E-2</v>
      </c>
      <c r="K48">
        <v>1136.6500000000001</v>
      </c>
      <c r="L48" s="1" t="s">
        <v>18</v>
      </c>
      <c r="M48" s="1" t="s">
        <v>59</v>
      </c>
      <c r="N48" s="1" t="s">
        <v>33</v>
      </c>
      <c r="O48" s="1" t="s">
        <v>278</v>
      </c>
      <c r="P48" s="1" t="s">
        <v>21</v>
      </c>
      <c r="Q48" s="1" t="s">
        <v>36</v>
      </c>
      <c r="R48">
        <v>20</v>
      </c>
    </row>
    <row r="49" spans="1:18" x14ac:dyDescent="0.25">
      <c r="A49" s="1" t="s">
        <v>89</v>
      </c>
      <c r="B49" s="4">
        <v>46253</v>
      </c>
      <c r="C49" s="2">
        <v>0.85416666666666663</v>
      </c>
      <c r="D49">
        <v>5</v>
      </c>
      <c r="E49" s="3">
        <v>46253.854166666664</v>
      </c>
      <c r="F49" s="3">
        <v>46253.85833333333</v>
      </c>
      <c r="G49" s="3">
        <v>46253.879166666666</v>
      </c>
      <c r="H49" s="3">
        <v>46253.923611111109</v>
      </c>
      <c r="I49" s="3">
        <v>46253.934027777781</v>
      </c>
      <c r="J49" s="6">
        <f>IF(OR(NOT(ISNUMBER(Raw_Data[[#This Row],[Table_Vacated_Time]])),NOT(ISNUMBER(Raw_Data[[#This Row],[Seating_Time]])))," ",Raw_Data[[#This Row],[Table_Vacated_Time]]-Raw_Data[[#This Row],[Seating_Time]])</f>
        <v>7.9861111116770189E-2</v>
      </c>
      <c r="K49">
        <v>2331.42</v>
      </c>
      <c r="L49" s="1" t="s">
        <v>28</v>
      </c>
      <c r="M49" s="1" t="s">
        <v>59</v>
      </c>
      <c r="N49" s="1" t="s">
        <v>33</v>
      </c>
      <c r="O49" s="1"/>
      <c r="P49" s="1" t="s">
        <v>34</v>
      </c>
      <c r="Q49" s="1" t="s">
        <v>26</v>
      </c>
      <c r="R49">
        <v>7</v>
      </c>
    </row>
    <row r="50" spans="1:18" x14ac:dyDescent="0.25">
      <c r="A50" s="1" t="s">
        <v>90</v>
      </c>
      <c r="B50" s="4">
        <v>46236</v>
      </c>
      <c r="C50" s="2">
        <v>0.60416666666666663</v>
      </c>
      <c r="D50">
        <v>4</v>
      </c>
      <c r="E50" s="3">
        <v>46236.604166666664</v>
      </c>
      <c r="F50" s="3">
        <v>46236.613194444442</v>
      </c>
      <c r="G50" s="3">
        <v>46236.635416666664</v>
      </c>
      <c r="H50" s="3">
        <v>46236.663888888892</v>
      </c>
      <c r="I50" s="3">
        <v>46236.665277777778</v>
      </c>
      <c r="J50" s="6">
        <f>IF(OR(NOT(ISNUMBER(Raw_Data[[#This Row],[Table_Vacated_Time]])),NOT(ISNUMBER(Raw_Data[[#This Row],[Seating_Time]])))," ",Raw_Data[[#This Row],[Table_Vacated_Time]]-Raw_Data[[#This Row],[Seating_Time]])</f>
        <v>6.1111111113859806E-2</v>
      </c>
      <c r="K50">
        <v>1818.99</v>
      </c>
      <c r="L50" s="1" t="s">
        <v>28</v>
      </c>
      <c r="M50" s="1" t="s">
        <v>19</v>
      </c>
      <c r="N50" s="1" t="s">
        <v>20</v>
      </c>
      <c r="O50" s="1" t="s">
        <v>280</v>
      </c>
      <c r="P50" s="1" t="s">
        <v>34</v>
      </c>
      <c r="Q50" s="1" t="s">
        <v>81</v>
      </c>
      <c r="R50">
        <v>3</v>
      </c>
    </row>
    <row r="51" spans="1:18" x14ac:dyDescent="0.25">
      <c r="A51" s="1" t="s">
        <v>91</v>
      </c>
      <c r="B51" s="4">
        <v>46249</v>
      </c>
      <c r="C51" s="2">
        <v>0.85416666666666663</v>
      </c>
      <c r="D51">
        <v>2</v>
      </c>
      <c r="E51" s="3">
        <v>46249.854166666664</v>
      </c>
      <c r="F51" s="3">
        <v>46249.864583333336</v>
      </c>
      <c r="G51" s="3">
        <v>46249.878472222219</v>
      </c>
      <c r="H51" s="3">
        <v>46249.919444444444</v>
      </c>
      <c r="I51" s="3">
        <v>46249.929166666669</v>
      </c>
      <c r="J51" s="6">
        <f>IF(OR(NOT(ISNUMBER(Raw_Data[[#This Row],[Table_Vacated_Time]])),NOT(ISNUMBER(Raw_Data[[#This Row],[Seating_Time]])))," ",Raw_Data[[#This Row],[Table_Vacated_Time]]-Raw_Data[[#This Row],[Seating_Time]])</f>
        <v>7.5000000004365575E-2</v>
      </c>
      <c r="K51">
        <v>490</v>
      </c>
      <c r="L51" s="1" t="s">
        <v>28</v>
      </c>
      <c r="M51" s="1" t="s">
        <v>24</v>
      </c>
      <c r="N51" s="1" t="s">
        <v>20</v>
      </c>
      <c r="O51" s="1"/>
      <c r="P51" s="1" t="s">
        <v>34</v>
      </c>
      <c r="Q51" s="1" t="s">
        <v>92</v>
      </c>
      <c r="R51">
        <v>17</v>
      </c>
    </row>
    <row r="52" spans="1:18" x14ac:dyDescent="0.25">
      <c r="A52" s="1" t="s">
        <v>93</v>
      </c>
      <c r="B52" s="4">
        <v>46243</v>
      </c>
      <c r="C52" s="2">
        <v>0.59375</v>
      </c>
      <c r="D52">
        <v>2</v>
      </c>
      <c r="E52" s="3">
        <v>46243.59375</v>
      </c>
      <c r="F52" s="3">
        <v>46243.602083333331</v>
      </c>
      <c r="G52" s="3">
        <v>46243.615277777775</v>
      </c>
      <c r="H52" s="3">
        <v>46243.649305555555</v>
      </c>
      <c r="I52" s="3">
        <v>46243.656944444447</v>
      </c>
      <c r="J52" s="6">
        <f>IF(OR(NOT(ISNUMBER(Raw_Data[[#This Row],[Table_Vacated_Time]])),NOT(ISNUMBER(Raw_Data[[#This Row],[Seating_Time]])))," ",Raw_Data[[#This Row],[Table_Vacated_Time]]-Raw_Data[[#This Row],[Seating_Time]])</f>
        <v>6.3194444446708076E-2</v>
      </c>
      <c r="K52">
        <v>1568.25</v>
      </c>
      <c r="L52" s="1" t="s">
        <v>28</v>
      </c>
      <c r="M52" s="1" t="s">
        <v>22</v>
      </c>
      <c r="N52" s="1" t="s">
        <v>33</v>
      </c>
      <c r="O52" s="1" t="s">
        <v>281</v>
      </c>
      <c r="P52" s="1" t="s">
        <v>29</v>
      </c>
      <c r="Q52" s="1" t="s">
        <v>44</v>
      </c>
      <c r="R52">
        <v>9</v>
      </c>
    </row>
    <row r="53" spans="1:18" x14ac:dyDescent="0.25">
      <c r="A53" s="1" t="s">
        <v>94</v>
      </c>
      <c r="B53" s="4">
        <v>46250</v>
      </c>
      <c r="C53" s="2">
        <v>0.55555555555555558</v>
      </c>
      <c r="D53">
        <v>4</v>
      </c>
      <c r="E53" s="3">
        <v>46250.555555555555</v>
      </c>
      <c r="F53" s="3">
        <v>46250.56527777778</v>
      </c>
      <c r="G53" s="3">
        <v>46250.588888888888</v>
      </c>
      <c r="H53" s="3">
        <v>46250.614583333336</v>
      </c>
      <c r="I53" s="3">
        <v>46250.621527777781</v>
      </c>
      <c r="J53" s="6">
        <f>IF(OR(NOT(ISNUMBER(Raw_Data[[#This Row],[Table_Vacated_Time]])),NOT(ISNUMBER(Raw_Data[[#This Row],[Seating_Time]])))," ",Raw_Data[[#This Row],[Table_Vacated_Time]]-Raw_Data[[#This Row],[Seating_Time]])</f>
        <v>6.5972222226264421E-2</v>
      </c>
      <c r="K53">
        <v>1276.3800000000001</v>
      </c>
      <c r="L53" s="1" t="s">
        <v>18</v>
      </c>
      <c r="M53" s="1" t="s">
        <v>19</v>
      </c>
      <c r="N53" s="1" t="s">
        <v>220</v>
      </c>
      <c r="O53" s="1"/>
      <c r="P53" s="1" t="s">
        <v>29</v>
      </c>
      <c r="Q53" s="1" t="s">
        <v>24</v>
      </c>
      <c r="R53">
        <v>9</v>
      </c>
    </row>
    <row r="54" spans="1:18" x14ac:dyDescent="0.25">
      <c r="A54" s="1" t="s">
        <v>95</v>
      </c>
      <c r="B54" s="4">
        <v>46252</v>
      </c>
      <c r="C54" s="2">
        <v>0.87152777777777779</v>
      </c>
      <c r="D54">
        <v>6</v>
      </c>
      <c r="E54" s="3">
        <v>46252.871527777781</v>
      </c>
      <c r="F54" s="3">
        <v>46252.879861111112</v>
      </c>
      <c r="G54" s="3">
        <v>46252.905555555553</v>
      </c>
      <c r="H54" s="3">
        <v>46252.920138888891</v>
      </c>
      <c r="I54" s="3">
        <v>46252.922222222223</v>
      </c>
      <c r="J54" s="6">
        <f>IF(OR(NOT(ISNUMBER(Raw_Data[[#This Row],[Table_Vacated_Time]])),NOT(ISNUMBER(Raw_Data[[#This Row],[Seating_Time]])))," ",Raw_Data[[#This Row],[Table_Vacated_Time]]-Raw_Data[[#This Row],[Seating_Time]])</f>
        <v>5.0694444442342501E-2</v>
      </c>
      <c r="K54">
        <v>1497.69</v>
      </c>
      <c r="L54" s="1" t="s">
        <v>28</v>
      </c>
      <c r="M54" s="1" t="s">
        <v>32</v>
      </c>
      <c r="N54" s="1" t="s">
        <v>25</v>
      </c>
      <c r="O54" s="1"/>
      <c r="P54" s="1" t="s">
        <v>34</v>
      </c>
      <c r="Q54" s="1" t="s">
        <v>19</v>
      </c>
      <c r="R54">
        <v>16</v>
      </c>
    </row>
    <row r="55" spans="1:18" x14ac:dyDescent="0.25">
      <c r="A55" s="1" t="s">
        <v>96</v>
      </c>
      <c r="B55" s="4">
        <v>46250</v>
      </c>
      <c r="C55" s="2">
        <v>0.80902777777777779</v>
      </c>
      <c r="D55">
        <v>5</v>
      </c>
      <c r="E55" s="3">
        <v>46250.809027777781</v>
      </c>
      <c r="F55" s="3">
        <v>46250.815972222219</v>
      </c>
      <c r="G55" s="3">
        <v>46250.831944444442</v>
      </c>
      <c r="H55" s="3">
        <v>46250.876388888886</v>
      </c>
      <c r="I55" s="3">
        <v>46250.882638888892</v>
      </c>
      <c r="J55" s="6">
        <f>IF(OR(NOT(ISNUMBER(Raw_Data[[#This Row],[Table_Vacated_Time]])),NOT(ISNUMBER(Raw_Data[[#This Row],[Seating_Time]])))," ",Raw_Data[[#This Row],[Table_Vacated_Time]]-Raw_Data[[#This Row],[Seating_Time]])</f>
        <v>7.3611111110949423E-2</v>
      </c>
      <c r="K55">
        <v>2086.42</v>
      </c>
      <c r="L55" s="1" t="s">
        <v>31</v>
      </c>
      <c r="M55" s="1" t="s">
        <v>32</v>
      </c>
      <c r="N55" s="1" t="s">
        <v>33</v>
      </c>
      <c r="O55" s="1"/>
      <c r="P55" s="1" t="s">
        <v>21</v>
      </c>
      <c r="Q55" s="1" t="s">
        <v>19</v>
      </c>
      <c r="R55">
        <v>18</v>
      </c>
    </row>
    <row r="56" spans="1:18" x14ac:dyDescent="0.25">
      <c r="A56" s="1" t="s">
        <v>97</v>
      </c>
      <c r="B56" s="4">
        <v>46238</v>
      </c>
      <c r="C56" s="2">
        <v>0.87152777777777779</v>
      </c>
      <c r="D56">
        <v>2</v>
      </c>
      <c r="E56" s="3">
        <v>46238.871527777781</v>
      </c>
      <c r="F56" s="3">
        <v>46238.877083333333</v>
      </c>
      <c r="G56" s="3">
        <v>46238.901388888888</v>
      </c>
      <c r="H56" s="3">
        <v>46238.936111111114</v>
      </c>
      <c r="I56" s="3">
        <v>46238.94027777778</v>
      </c>
      <c r="J56" s="6">
        <f>IF(OR(NOT(ISNUMBER(Raw_Data[[#This Row],[Table_Vacated_Time]])),NOT(ISNUMBER(Raw_Data[[#This Row],[Seating_Time]])))," ",Raw_Data[[#This Row],[Table_Vacated_Time]]-Raw_Data[[#This Row],[Seating_Time]])</f>
        <v>6.8749999998544808E-2</v>
      </c>
      <c r="K56">
        <v>1957.05</v>
      </c>
      <c r="L56" s="1" t="s">
        <v>18</v>
      </c>
      <c r="M56" s="1" t="s">
        <v>59</v>
      </c>
      <c r="N56" s="1" t="s">
        <v>33</v>
      </c>
      <c r="O56" s="1"/>
      <c r="P56" s="1" t="s">
        <v>21</v>
      </c>
      <c r="Q56" s="1" t="s">
        <v>36</v>
      </c>
      <c r="R56">
        <v>7</v>
      </c>
    </row>
    <row r="57" spans="1:18" x14ac:dyDescent="0.25">
      <c r="A57" s="1" t="s">
        <v>98</v>
      </c>
      <c r="B57" s="4">
        <v>46242</v>
      </c>
      <c r="C57" s="2">
        <v>0.76388888888888884</v>
      </c>
      <c r="D57">
        <v>1</v>
      </c>
      <c r="E57" s="3">
        <v>46242.763888888891</v>
      </c>
      <c r="F57" s="3">
        <v>46242.768750000003</v>
      </c>
      <c r="G57" s="3">
        <v>46242.782638888886</v>
      </c>
      <c r="H57" s="3">
        <v>46242.79791666667</v>
      </c>
      <c r="I57" s="3">
        <v>46242.799305555556</v>
      </c>
      <c r="J57" s="6">
        <f>IF(OR(NOT(ISNUMBER(Raw_Data[[#This Row],[Table_Vacated_Time]])),NOT(ISNUMBER(Raw_Data[[#This Row],[Seating_Time]])))," ",Raw_Data[[#This Row],[Table_Vacated_Time]]-Raw_Data[[#This Row],[Seating_Time]])</f>
        <v>3.5416666665696539E-2</v>
      </c>
      <c r="K57">
        <v>1782.2</v>
      </c>
      <c r="L57" s="1" t="s">
        <v>31</v>
      </c>
      <c r="M57" s="1" t="s">
        <v>47</v>
      </c>
      <c r="N57" s="1" t="s">
        <v>20</v>
      </c>
      <c r="O57" s="1" t="s">
        <v>277</v>
      </c>
      <c r="P57" s="1" t="s">
        <v>21</v>
      </c>
      <c r="Q57" s="1" t="s">
        <v>92</v>
      </c>
      <c r="R57">
        <v>18</v>
      </c>
    </row>
    <row r="58" spans="1:18" x14ac:dyDescent="0.25">
      <c r="A58" s="1" t="s">
        <v>99</v>
      </c>
      <c r="B58" s="4">
        <v>46244</v>
      </c>
      <c r="C58" s="2">
        <v>0.81597222222222221</v>
      </c>
      <c r="D58">
        <v>4</v>
      </c>
      <c r="E58" s="3">
        <v>46244.815972222219</v>
      </c>
      <c r="F58" s="3">
        <v>46244.819444444445</v>
      </c>
      <c r="G58" s="3">
        <v>46244.833333333336</v>
      </c>
      <c r="H58" s="3">
        <v>46244.868055555555</v>
      </c>
      <c r="I58" s="3">
        <v>46244.870138888888</v>
      </c>
      <c r="J58" s="6">
        <f>IF(OR(NOT(ISNUMBER(Raw_Data[[#This Row],[Table_Vacated_Time]])),NOT(ISNUMBER(Raw_Data[[#This Row],[Seating_Time]])))," ",Raw_Data[[#This Row],[Table_Vacated_Time]]-Raw_Data[[#This Row],[Seating_Time]])</f>
        <v>5.4166666668606922E-2</v>
      </c>
      <c r="K58">
        <v>1168.43</v>
      </c>
      <c r="L58" s="1" t="s">
        <v>28</v>
      </c>
      <c r="M58" s="1" t="s">
        <v>24</v>
      </c>
      <c r="N58" s="1" t="s">
        <v>33</v>
      </c>
      <c r="O58" s="1" t="s">
        <v>278</v>
      </c>
      <c r="P58" s="1" t="s">
        <v>34</v>
      </c>
      <c r="Q58" s="1" t="s">
        <v>66</v>
      </c>
      <c r="R58">
        <v>6</v>
      </c>
    </row>
    <row r="59" spans="1:18" x14ac:dyDescent="0.25">
      <c r="A59" s="1" t="s">
        <v>100</v>
      </c>
      <c r="B59" s="4">
        <v>46236</v>
      </c>
      <c r="C59" s="2">
        <v>0.57291666666666663</v>
      </c>
      <c r="D59">
        <v>4</v>
      </c>
      <c r="E59" s="3">
        <v>46236.572916666664</v>
      </c>
      <c r="F59" s="3">
        <v>46236.578472222223</v>
      </c>
      <c r="G59" s="3">
        <v>46236.588888888888</v>
      </c>
      <c r="H59" s="3">
        <v>46236.627083333333</v>
      </c>
      <c r="I59" s="3">
        <v>46236.636805555558</v>
      </c>
      <c r="J59" s="6">
        <f>IF(OR(NOT(ISNUMBER(Raw_Data[[#This Row],[Table_Vacated_Time]])),NOT(ISNUMBER(Raw_Data[[#This Row],[Seating_Time]])))," ",Raw_Data[[#This Row],[Table_Vacated_Time]]-Raw_Data[[#This Row],[Seating_Time]])</f>
        <v>6.3888888893416151E-2</v>
      </c>
      <c r="K59">
        <v>1459.93</v>
      </c>
      <c r="L59" s="1" t="s">
        <v>18</v>
      </c>
      <c r="M59" s="1" t="s">
        <v>32</v>
      </c>
      <c r="N59" s="1" t="s">
        <v>20</v>
      </c>
      <c r="O59" s="1" t="s">
        <v>281</v>
      </c>
      <c r="P59" s="1" t="s">
        <v>29</v>
      </c>
      <c r="Q59" s="1" t="s">
        <v>36</v>
      </c>
      <c r="R59">
        <v>3</v>
      </c>
    </row>
    <row r="60" spans="1:18" x14ac:dyDescent="0.25">
      <c r="A60" s="1" t="s">
        <v>101</v>
      </c>
      <c r="B60" s="4">
        <v>46262</v>
      </c>
      <c r="C60" s="2">
        <v>0.85416666666666663</v>
      </c>
      <c r="D60">
        <v>4</v>
      </c>
      <c r="E60" s="3">
        <v>46262.854166666664</v>
      </c>
      <c r="F60" s="3">
        <v>46262.863888888889</v>
      </c>
      <c r="G60" s="3">
        <v>46262.872916666667</v>
      </c>
      <c r="H60" s="3">
        <v>46262.913888888892</v>
      </c>
      <c r="I60" s="3">
        <v>46262.92291666667</v>
      </c>
      <c r="J60" s="6">
        <f>IF(OR(NOT(ISNUMBER(Raw_Data[[#This Row],[Table_Vacated_Time]])),NOT(ISNUMBER(Raw_Data[[#This Row],[Seating_Time]])))," ",Raw_Data[[#This Row],[Table_Vacated_Time]]-Raw_Data[[#This Row],[Seating_Time]])</f>
        <v>6.8750000005820766E-2</v>
      </c>
      <c r="K60">
        <v>1812.19</v>
      </c>
      <c r="L60" s="1" t="s">
        <v>18</v>
      </c>
      <c r="M60" s="1" t="s">
        <v>32</v>
      </c>
      <c r="N60" s="1" t="s">
        <v>25</v>
      </c>
      <c r="O60" s="1"/>
      <c r="P60" s="1" t="s">
        <v>21</v>
      </c>
      <c r="Q60" s="1" t="s">
        <v>44</v>
      </c>
      <c r="R60">
        <v>19</v>
      </c>
    </row>
    <row r="61" spans="1:18" x14ac:dyDescent="0.25">
      <c r="A61" s="1" t="s">
        <v>102</v>
      </c>
      <c r="B61" s="4">
        <v>46242</v>
      </c>
      <c r="C61" s="2">
        <v>0.54513888888888884</v>
      </c>
      <c r="D61">
        <v>2</v>
      </c>
      <c r="E61" s="3">
        <v>46242.545138888891</v>
      </c>
      <c r="F61" s="3">
        <v>46242.552777777775</v>
      </c>
      <c r="G61" s="3">
        <v>46242.570833333331</v>
      </c>
      <c r="H61" s="3">
        <v>46242.615277777775</v>
      </c>
      <c r="I61" s="3">
        <v>46242.622916666667</v>
      </c>
      <c r="J61" s="6">
        <f>IF(OR(NOT(ISNUMBER(Raw_Data[[#This Row],[Table_Vacated_Time]])),NOT(ISNUMBER(Raw_Data[[#This Row],[Seating_Time]])))," ",Raw_Data[[#This Row],[Table_Vacated_Time]]-Raw_Data[[#This Row],[Seating_Time]])</f>
        <v>7.7777777776645962E-2</v>
      </c>
      <c r="K61">
        <v>1926.55</v>
      </c>
      <c r="L61" s="1" t="s">
        <v>28</v>
      </c>
      <c r="M61" s="1" t="s">
        <v>32</v>
      </c>
      <c r="N61" s="1" t="s">
        <v>25</v>
      </c>
      <c r="O61" s="1"/>
      <c r="P61" s="1" t="s">
        <v>29</v>
      </c>
      <c r="Q61" s="1" t="s">
        <v>48</v>
      </c>
      <c r="R61">
        <v>1</v>
      </c>
    </row>
    <row r="62" spans="1:18" x14ac:dyDescent="0.25">
      <c r="A62" s="1" t="s">
        <v>103</v>
      </c>
      <c r="B62" s="4">
        <v>46262</v>
      </c>
      <c r="C62" s="2">
        <v>0.82638888888888884</v>
      </c>
      <c r="D62">
        <v>3</v>
      </c>
      <c r="E62" s="3">
        <v>46262.826388888891</v>
      </c>
      <c r="F62" s="3">
        <v>46262.838194444441</v>
      </c>
      <c r="G62" s="3">
        <v>46262.863888888889</v>
      </c>
      <c r="H62" s="3">
        <v>46262.905555555553</v>
      </c>
      <c r="I62" s="3">
        <v>46262.913194444445</v>
      </c>
      <c r="J62" s="6">
        <f>IF(OR(NOT(ISNUMBER(Raw_Data[[#This Row],[Table_Vacated_Time]])),NOT(ISNUMBER(Raw_Data[[#This Row],[Seating_Time]])))," ",Raw_Data[[#This Row],[Table_Vacated_Time]]-Raw_Data[[#This Row],[Seating_Time]])</f>
        <v>8.6805555554747116E-2</v>
      </c>
      <c r="K62">
        <v>1246.45</v>
      </c>
      <c r="L62" s="1" t="s">
        <v>18</v>
      </c>
      <c r="M62" s="1" t="s">
        <v>38</v>
      </c>
      <c r="N62" s="1" t="s">
        <v>33</v>
      </c>
      <c r="O62" s="1" t="s">
        <v>278</v>
      </c>
      <c r="P62" s="1" t="s">
        <v>21</v>
      </c>
      <c r="Q62" s="1" t="s">
        <v>66</v>
      </c>
      <c r="R62">
        <v>9</v>
      </c>
    </row>
    <row r="63" spans="1:18" x14ac:dyDescent="0.25">
      <c r="A63" s="1" t="s">
        <v>104</v>
      </c>
      <c r="B63" s="4">
        <v>46239</v>
      </c>
      <c r="C63" s="2">
        <v>0.88194444444444442</v>
      </c>
      <c r="D63">
        <v>2</v>
      </c>
      <c r="E63" s="3">
        <v>46239.881944444445</v>
      </c>
      <c r="F63" s="3">
        <v>46239.886805555558</v>
      </c>
      <c r="G63" s="3">
        <v>46239.912499999999</v>
      </c>
      <c r="H63" s="3">
        <v>46239.939583333333</v>
      </c>
      <c r="I63" s="3">
        <v>46239.947222222225</v>
      </c>
      <c r="J63" s="6">
        <f>IF(OR(NOT(ISNUMBER(Raw_Data[[#This Row],[Table_Vacated_Time]])),NOT(ISNUMBER(Raw_Data[[#This Row],[Seating_Time]])))," ",Raw_Data[[#This Row],[Table_Vacated_Time]]-Raw_Data[[#This Row],[Seating_Time]])</f>
        <v>6.5277777779556345E-2</v>
      </c>
      <c r="K63">
        <v>1287.8900000000001</v>
      </c>
      <c r="L63" s="1" t="s">
        <v>18</v>
      </c>
      <c r="M63" s="1" t="s">
        <v>59</v>
      </c>
      <c r="N63" s="1" t="s">
        <v>20</v>
      </c>
      <c r="O63" s="1" t="s">
        <v>277</v>
      </c>
      <c r="P63" s="1" t="s">
        <v>29</v>
      </c>
      <c r="Q63" s="1" t="s">
        <v>48</v>
      </c>
      <c r="R63">
        <v>2</v>
      </c>
    </row>
    <row r="64" spans="1:18" x14ac:dyDescent="0.25">
      <c r="A64" s="1" t="s">
        <v>105</v>
      </c>
      <c r="B64" s="4">
        <v>46244</v>
      </c>
      <c r="C64" s="2">
        <v>0.84722222222222221</v>
      </c>
      <c r="D64">
        <v>7</v>
      </c>
      <c r="E64" s="3">
        <v>46244.847222222219</v>
      </c>
      <c r="F64" s="3">
        <v>46244.855555555558</v>
      </c>
      <c r="G64" s="3">
        <v>46244.873611111114</v>
      </c>
      <c r="H64" s="3">
        <v>46244.890972222223</v>
      </c>
      <c r="I64" s="3">
        <v>46244.898611111108</v>
      </c>
      <c r="J64" s="6">
        <f>IF(OR(NOT(ISNUMBER(Raw_Data[[#This Row],[Table_Vacated_Time]])),NOT(ISNUMBER(Raw_Data[[#This Row],[Seating_Time]])))," ",Raw_Data[[#This Row],[Table_Vacated_Time]]-Raw_Data[[#This Row],[Seating_Time]])</f>
        <v>5.1388888889050577E-2</v>
      </c>
      <c r="K64">
        <v>1243.3699999999999</v>
      </c>
      <c r="L64" s="1" t="s">
        <v>28</v>
      </c>
      <c r="M64" s="1" t="s">
        <v>22</v>
      </c>
      <c r="N64" s="1" t="s">
        <v>25</v>
      </c>
      <c r="O64" s="1" t="s">
        <v>277</v>
      </c>
      <c r="P64" s="1" t="s">
        <v>21</v>
      </c>
      <c r="Q64" s="1" t="s">
        <v>32</v>
      </c>
      <c r="R64">
        <v>18</v>
      </c>
    </row>
    <row r="65" spans="1:18" x14ac:dyDescent="0.25">
      <c r="A65" s="1" t="s">
        <v>106</v>
      </c>
      <c r="B65" s="4">
        <v>46265</v>
      </c>
      <c r="C65" s="2">
        <v>0.86458333333333337</v>
      </c>
      <c r="D65">
        <v>8</v>
      </c>
      <c r="E65" s="3">
        <v>46265.864583333336</v>
      </c>
      <c r="F65" s="3">
        <v>46265.876388888886</v>
      </c>
      <c r="G65" s="3">
        <v>46265.899305555555</v>
      </c>
      <c r="H65" s="3">
        <v>46265.925000000003</v>
      </c>
      <c r="I65" s="3">
        <v>46265.932638888888</v>
      </c>
      <c r="J65" s="6">
        <f>IF(OR(NOT(ISNUMBER(Raw_Data[[#This Row],[Table_Vacated_Time]])),NOT(ISNUMBER(Raw_Data[[#This Row],[Seating_Time]])))," ",Raw_Data[[#This Row],[Table_Vacated_Time]]-Raw_Data[[#This Row],[Seating_Time]])</f>
        <v>6.8055555551836733E-2</v>
      </c>
      <c r="K65">
        <v>1306.8800000000001</v>
      </c>
      <c r="L65" s="1" t="s">
        <v>18</v>
      </c>
      <c r="M65" s="1" t="s">
        <v>24</v>
      </c>
      <c r="N65" s="1" t="s">
        <v>20</v>
      </c>
      <c r="O65" s="1" t="s">
        <v>280</v>
      </c>
      <c r="P65" s="1" t="s">
        <v>21</v>
      </c>
      <c r="Q65" s="1" t="s">
        <v>92</v>
      </c>
      <c r="R65">
        <v>1</v>
      </c>
    </row>
    <row r="66" spans="1:18" x14ac:dyDescent="0.25">
      <c r="A66" s="1" t="s">
        <v>107</v>
      </c>
      <c r="B66" s="4">
        <v>46248</v>
      </c>
      <c r="C66" s="2">
        <v>0.85763888888888884</v>
      </c>
      <c r="D66">
        <v>2</v>
      </c>
      <c r="E66" s="3">
        <v>46248.857638888891</v>
      </c>
      <c r="F66" s="3">
        <v>46248.864583333336</v>
      </c>
      <c r="G66" s="3">
        <v>46248.881944444445</v>
      </c>
      <c r="H66" s="3">
        <v>46248.910416666666</v>
      </c>
      <c r="I66" s="3">
        <v>46248.915277777778</v>
      </c>
      <c r="J66" s="6">
        <f>IF(OR(NOT(ISNUMBER(Raw_Data[[#This Row],[Table_Vacated_Time]])),NOT(ISNUMBER(Raw_Data[[#This Row],[Seating_Time]])))," ",Raw_Data[[#This Row],[Table_Vacated_Time]]-Raw_Data[[#This Row],[Seating_Time]])</f>
        <v>5.7638888887595385E-2</v>
      </c>
      <c r="K66">
        <v>1836.89</v>
      </c>
      <c r="L66" s="1" t="s">
        <v>18</v>
      </c>
      <c r="M66" s="1" t="s">
        <v>22</v>
      </c>
      <c r="N66" s="1" t="s">
        <v>20</v>
      </c>
      <c r="O66" s="1"/>
      <c r="P66" s="1" t="s">
        <v>29</v>
      </c>
      <c r="Q66" s="1" t="s">
        <v>36</v>
      </c>
      <c r="R66">
        <v>16</v>
      </c>
    </row>
    <row r="67" spans="1:18" x14ac:dyDescent="0.25">
      <c r="A67" s="1" t="s">
        <v>108</v>
      </c>
      <c r="B67" s="4">
        <v>46256</v>
      </c>
      <c r="C67" s="2">
        <v>0.94444444444444442</v>
      </c>
      <c r="D67">
        <v>1</v>
      </c>
      <c r="E67" s="3">
        <v>46256.944444444445</v>
      </c>
      <c r="F67" s="3">
        <v>46256.948611111111</v>
      </c>
      <c r="G67" s="3">
        <v>46256.963888888888</v>
      </c>
      <c r="H67" s="3">
        <v>46256.988888888889</v>
      </c>
      <c r="I67" s="3">
        <v>46256.993750000001</v>
      </c>
      <c r="J67" s="6">
        <f>IF(OR(NOT(ISNUMBER(Raw_Data[[#This Row],[Table_Vacated_Time]])),NOT(ISNUMBER(Raw_Data[[#This Row],[Seating_Time]])))," ",Raw_Data[[#This Row],[Table_Vacated_Time]]-Raw_Data[[#This Row],[Seating_Time]])</f>
        <v>4.9305555556202307E-2</v>
      </c>
      <c r="K67">
        <v>2015.93</v>
      </c>
      <c r="L67" s="1" t="s">
        <v>28</v>
      </c>
      <c r="M67" s="1" t="s">
        <v>44</v>
      </c>
      <c r="N67" s="1" t="s">
        <v>20</v>
      </c>
      <c r="O67" s="1" t="s">
        <v>281</v>
      </c>
      <c r="P67" s="1" t="s">
        <v>21</v>
      </c>
      <c r="Q67" s="1" t="s">
        <v>32</v>
      </c>
      <c r="R67">
        <v>15</v>
      </c>
    </row>
    <row r="68" spans="1:18" x14ac:dyDescent="0.25">
      <c r="A68" s="1" t="s">
        <v>109</v>
      </c>
      <c r="B68" s="4">
        <v>46251</v>
      </c>
      <c r="C68" s="2">
        <v>0.77430555555555558</v>
      </c>
      <c r="D68">
        <v>6</v>
      </c>
      <c r="E68" s="3">
        <v>46251.774305555555</v>
      </c>
      <c r="F68" s="3">
        <v>46251.779861111114</v>
      </c>
      <c r="G68" s="3">
        <v>46251.793749999997</v>
      </c>
      <c r="H68" s="3">
        <v>46251.831944444442</v>
      </c>
      <c r="I68" s="3">
        <v>46251.834722222222</v>
      </c>
      <c r="J68" s="6">
        <f>IF(OR(NOT(ISNUMBER(Raw_Data[[#This Row],[Table_Vacated_Time]])),NOT(ISNUMBER(Raw_Data[[#This Row],[Seating_Time]])))," ",Raw_Data[[#This Row],[Table_Vacated_Time]]-Raw_Data[[#This Row],[Seating_Time]])</f>
        <v>6.0416666667151731E-2</v>
      </c>
      <c r="K68">
        <v>1830.39</v>
      </c>
      <c r="L68" s="1" t="s">
        <v>28</v>
      </c>
      <c r="M68" s="1" t="s">
        <v>24</v>
      </c>
      <c r="N68" s="1" t="s">
        <v>41</v>
      </c>
      <c r="O68" s="1" t="s">
        <v>277</v>
      </c>
      <c r="P68" s="1" t="s">
        <v>34</v>
      </c>
      <c r="Q68" s="1" t="s">
        <v>92</v>
      </c>
      <c r="R68">
        <v>2</v>
      </c>
    </row>
    <row r="69" spans="1:18" x14ac:dyDescent="0.25">
      <c r="A69" s="1" t="s">
        <v>110</v>
      </c>
      <c r="B69" s="4">
        <v>46260</v>
      </c>
      <c r="C69" s="2">
        <v>0.54861111111111116</v>
      </c>
      <c r="D69">
        <v>4</v>
      </c>
      <c r="E69" s="3">
        <v>46260.548611111109</v>
      </c>
      <c r="F69" s="3">
        <v>46260.552083333336</v>
      </c>
      <c r="G69" s="3">
        <v>46260.572222222225</v>
      </c>
      <c r="H69" s="3">
        <v>46260.604166666664</v>
      </c>
      <c r="I69" s="3">
        <v>46260.606249999997</v>
      </c>
      <c r="J69" s="6">
        <f>IF(OR(NOT(ISNUMBER(Raw_Data[[#This Row],[Table_Vacated_Time]])),NOT(ISNUMBER(Raw_Data[[#This Row],[Seating_Time]])))," ",Raw_Data[[#This Row],[Table_Vacated_Time]]-Raw_Data[[#This Row],[Seating_Time]])</f>
        <v>5.7638888887595385E-2</v>
      </c>
      <c r="K69">
        <v>2181.94</v>
      </c>
      <c r="L69" s="1" t="s">
        <v>28</v>
      </c>
      <c r="M69" s="1" t="s">
        <v>24</v>
      </c>
      <c r="N69" s="1" t="s">
        <v>33</v>
      </c>
      <c r="O69" s="1"/>
      <c r="P69" s="1" t="s">
        <v>21</v>
      </c>
      <c r="Q69" s="1" t="s">
        <v>24</v>
      </c>
      <c r="R69">
        <v>18</v>
      </c>
    </row>
    <row r="70" spans="1:18" x14ac:dyDescent="0.25">
      <c r="A70" s="1" t="s">
        <v>111</v>
      </c>
      <c r="B70" s="4">
        <v>46264</v>
      </c>
      <c r="C70" s="2">
        <v>0.86111111111111116</v>
      </c>
      <c r="D70">
        <v>4</v>
      </c>
      <c r="E70" s="3">
        <v>46264.861111111109</v>
      </c>
      <c r="F70" s="3">
        <v>46264.873611111114</v>
      </c>
      <c r="G70" s="3">
        <v>46264.892361111109</v>
      </c>
      <c r="H70" s="3">
        <v>46264.927083333336</v>
      </c>
      <c r="I70" s="3">
        <v>46264.930555555555</v>
      </c>
      <c r="J70" s="6">
        <f>IF(OR(NOT(ISNUMBER(Raw_Data[[#This Row],[Table_Vacated_Time]])),NOT(ISNUMBER(Raw_Data[[#This Row],[Seating_Time]])))," ",Raw_Data[[#This Row],[Table_Vacated_Time]]-Raw_Data[[#This Row],[Seating_Time]])</f>
        <v>6.9444444445252884E-2</v>
      </c>
      <c r="K70">
        <v>1828.9</v>
      </c>
      <c r="L70" s="1" t="s">
        <v>18</v>
      </c>
      <c r="M70" s="1" t="s">
        <v>38</v>
      </c>
      <c r="N70" s="1" t="s">
        <v>41</v>
      </c>
      <c r="O70" s="1" t="s">
        <v>278</v>
      </c>
      <c r="P70" s="1" t="s">
        <v>34</v>
      </c>
      <c r="Q70" s="1" t="s">
        <v>48</v>
      </c>
      <c r="R70">
        <v>14</v>
      </c>
    </row>
    <row r="71" spans="1:18" x14ac:dyDescent="0.25">
      <c r="A71" s="1" t="s">
        <v>112</v>
      </c>
      <c r="B71" s="4">
        <v>46263</v>
      </c>
      <c r="C71" s="2">
        <v>0.50347222222222221</v>
      </c>
      <c r="D71">
        <v>4</v>
      </c>
      <c r="E71" s="3">
        <v>46263.503472222219</v>
      </c>
      <c r="F71" s="3">
        <v>46263.510416666664</v>
      </c>
      <c r="G71" s="3">
        <v>46263.536111111112</v>
      </c>
      <c r="H71" s="3">
        <v>46263.572222222225</v>
      </c>
      <c r="I71" s="3">
        <v>46263.576388888891</v>
      </c>
      <c r="J71" s="6">
        <f>IF(OR(NOT(ISNUMBER(Raw_Data[[#This Row],[Table_Vacated_Time]])),NOT(ISNUMBER(Raw_Data[[#This Row],[Seating_Time]])))," ",Raw_Data[[#This Row],[Table_Vacated_Time]]-Raw_Data[[#This Row],[Seating_Time]])</f>
        <v>7.2916666671517305E-2</v>
      </c>
      <c r="K71">
        <v>1275.18</v>
      </c>
      <c r="L71" s="1" t="s">
        <v>31</v>
      </c>
      <c r="M71" s="1" t="s">
        <v>59</v>
      </c>
      <c r="N71" s="1" t="s">
        <v>20</v>
      </c>
      <c r="O71" s="1"/>
      <c r="P71" s="1" t="s">
        <v>21</v>
      </c>
      <c r="Q71" s="1" t="s">
        <v>24</v>
      </c>
      <c r="R71">
        <v>14</v>
      </c>
    </row>
    <row r="72" spans="1:18" x14ac:dyDescent="0.25">
      <c r="A72" s="1" t="s">
        <v>113</v>
      </c>
      <c r="B72" s="4">
        <v>46252</v>
      </c>
      <c r="C72" s="2">
        <v>0.80902777777777779</v>
      </c>
      <c r="D72">
        <v>7</v>
      </c>
      <c r="E72" s="3">
        <v>46252.809027777781</v>
      </c>
      <c r="F72" s="3">
        <v>46252.816666666666</v>
      </c>
      <c r="G72" s="3">
        <v>46252.834722222222</v>
      </c>
      <c r="H72" s="3">
        <v>46252.862500000003</v>
      </c>
      <c r="I72" s="3">
        <v>46252.872916666667</v>
      </c>
      <c r="J72" s="6">
        <f>IF(OR(NOT(ISNUMBER(Raw_Data[[#This Row],[Table_Vacated_Time]])),NOT(ISNUMBER(Raw_Data[[#This Row],[Seating_Time]])))," ",Raw_Data[[#This Row],[Table_Vacated_Time]]-Raw_Data[[#This Row],[Seating_Time]])</f>
        <v>6.3888888886140194E-2</v>
      </c>
      <c r="K72">
        <v>2188.77</v>
      </c>
      <c r="L72" s="1" t="s">
        <v>31</v>
      </c>
      <c r="M72" s="1" t="s">
        <v>32</v>
      </c>
      <c r="N72" s="1" t="s">
        <v>20</v>
      </c>
      <c r="O72" s="1" t="s">
        <v>279</v>
      </c>
      <c r="P72" s="1" t="s">
        <v>29</v>
      </c>
      <c r="Q72" s="1" t="s">
        <v>53</v>
      </c>
      <c r="R72">
        <v>18</v>
      </c>
    </row>
    <row r="73" spans="1:18" x14ac:dyDescent="0.25">
      <c r="A73" s="1" t="s">
        <v>114</v>
      </c>
      <c r="B73" s="4">
        <v>46245</v>
      </c>
      <c r="C73" s="2">
        <v>0.87152777777777779</v>
      </c>
      <c r="D73">
        <v>5</v>
      </c>
      <c r="E73" s="3">
        <v>46245.871527777781</v>
      </c>
      <c r="F73" s="3">
        <v>46245.881944444445</v>
      </c>
      <c r="G73" s="3">
        <v>46245.907638888886</v>
      </c>
      <c r="H73" s="3">
        <v>46245.95</v>
      </c>
      <c r="I73" s="3">
        <v>46245.952777777777</v>
      </c>
      <c r="J73" s="6">
        <f>IF(OR(NOT(ISNUMBER(Raw_Data[[#This Row],[Table_Vacated_Time]])),NOT(ISNUMBER(Raw_Data[[#This Row],[Seating_Time]])))," ",Raw_Data[[#This Row],[Table_Vacated_Time]]-Raw_Data[[#This Row],[Seating_Time]])</f>
        <v>8.1249999995634425E-2</v>
      </c>
      <c r="K73">
        <v>2595.92</v>
      </c>
      <c r="L73" s="1" t="s">
        <v>28</v>
      </c>
      <c r="M73" s="1" t="s">
        <v>47</v>
      </c>
      <c r="N73" s="1" t="s">
        <v>25</v>
      </c>
      <c r="O73" s="1"/>
      <c r="P73" s="1" t="s">
        <v>21</v>
      </c>
      <c r="Q73" s="1" t="s">
        <v>81</v>
      </c>
      <c r="R73">
        <v>13</v>
      </c>
    </row>
    <row r="74" spans="1:18" x14ac:dyDescent="0.25">
      <c r="A74" s="1" t="s">
        <v>115</v>
      </c>
      <c r="B74" s="4">
        <v>46262</v>
      </c>
      <c r="C74" s="2">
        <v>0.81944444444444442</v>
      </c>
      <c r="D74">
        <v>6</v>
      </c>
      <c r="E74" s="3">
        <v>46262.819444444445</v>
      </c>
      <c r="F74" s="3">
        <v>46262.830555555556</v>
      </c>
      <c r="G74" s="3">
        <v>46262.841666666667</v>
      </c>
      <c r="H74" s="3">
        <v>46262.873611111114</v>
      </c>
      <c r="I74" s="3">
        <v>46262.884027777778</v>
      </c>
      <c r="J74" s="6">
        <f>IF(OR(NOT(ISNUMBER(Raw_Data[[#This Row],[Table_Vacated_Time]])),NOT(ISNUMBER(Raw_Data[[#This Row],[Seating_Time]])))," ",Raw_Data[[#This Row],[Table_Vacated_Time]]-Raw_Data[[#This Row],[Seating_Time]])</f>
        <v>6.4583333332848269E-2</v>
      </c>
      <c r="K74">
        <v>1850.3</v>
      </c>
      <c r="L74" s="1" t="s">
        <v>18</v>
      </c>
      <c r="M74" s="1" t="s">
        <v>19</v>
      </c>
      <c r="N74" s="1" t="s">
        <v>20</v>
      </c>
      <c r="O74" s="1"/>
      <c r="P74" s="1" t="s">
        <v>29</v>
      </c>
      <c r="Q74" s="1" t="s">
        <v>19</v>
      </c>
      <c r="R74">
        <v>1</v>
      </c>
    </row>
    <row r="75" spans="1:18" x14ac:dyDescent="0.25">
      <c r="A75" s="1" t="s">
        <v>116</v>
      </c>
      <c r="B75" s="4">
        <v>46254</v>
      </c>
      <c r="C75" s="2">
        <v>0.86805555555555558</v>
      </c>
      <c r="D75">
        <v>2</v>
      </c>
      <c r="E75" s="3">
        <v>46254.868055555555</v>
      </c>
      <c r="F75" s="3"/>
      <c r="G75" s="3"/>
      <c r="H75" s="3">
        <v>46254.940972222219</v>
      </c>
      <c r="I75" s="3">
        <v>46254.946527777778</v>
      </c>
      <c r="J75" s="6">
        <f>IF(OR(NOT(ISNUMBER(Raw_Data[[#This Row],[Table_Vacated_Time]])),NOT(ISNUMBER(Raw_Data[[#This Row],[Seating_Time]])))," ",Raw_Data[[#This Row],[Table_Vacated_Time]]-Raw_Data[[#This Row],[Seating_Time]])</f>
        <v>7.8472222223354038E-2</v>
      </c>
      <c r="K75">
        <v>2250.5500000000002</v>
      </c>
      <c r="L75" s="1" t="s">
        <v>31</v>
      </c>
      <c r="M75" s="1" t="s">
        <v>24</v>
      </c>
      <c r="N75" s="1" t="s">
        <v>33</v>
      </c>
      <c r="O75" s="1" t="s">
        <v>278</v>
      </c>
      <c r="P75" s="1" t="s">
        <v>21</v>
      </c>
      <c r="Q75" s="1" t="s">
        <v>32</v>
      </c>
      <c r="R75">
        <v>11</v>
      </c>
    </row>
    <row r="76" spans="1:18" x14ac:dyDescent="0.25">
      <c r="A76" s="1" t="s">
        <v>117</v>
      </c>
      <c r="B76" s="4">
        <v>46255</v>
      </c>
      <c r="C76" s="2">
        <v>0.84722222222222221</v>
      </c>
      <c r="D76">
        <v>3</v>
      </c>
      <c r="E76" s="3">
        <v>46255.847222222219</v>
      </c>
      <c r="F76" s="3">
        <v>46255.854861111111</v>
      </c>
      <c r="G76" s="3">
        <v>46255.865277777775</v>
      </c>
      <c r="H76" s="3">
        <v>46255.906944444447</v>
      </c>
      <c r="I76" s="3">
        <v>46255.915972222225</v>
      </c>
      <c r="J76" s="6">
        <f>IF(OR(NOT(ISNUMBER(Raw_Data[[#This Row],[Table_Vacated_Time]])),NOT(ISNUMBER(Raw_Data[[#This Row],[Seating_Time]])))," ",Raw_Data[[#This Row],[Table_Vacated_Time]]-Raw_Data[[#This Row],[Seating_Time]])</f>
        <v>6.8750000005820766E-2</v>
      </c>
      <c r="K76">
        <v>610</v>
      </c>
      <c r="L76" s="1" t="s">
        <v>28</v>
      </c>
      <c r="M76" s="1" t="s">
        <v>47</v>
      </c>
      <c r="N76" s="1" t="s">
        <v>25</v>
      </c>
      <c r="O76" s="1" t="s">
        <v>277</v>
      </c>
      <c r="P76" s="1" t="s">
        <v>21</v>
      </c>
      <c r="Q76" s="1" t="s">
        <v>19</v>
      </c>
      <c r="R76">
        <v>3</v>
      </c>
    </row>
    <row r="77" spans="1:18" x14ac:dyDescent="0.25">
      <c r="A77" s="1" t="s">
        <v>118</v>
      </c>
      <c r="B77" s="4">
        <v>46260</v>
      </c>
      <c r="C77" s="2">
        <v>0.51736111111111116</v>
      </c>
      <c r="D77">
        <v>4</v>
      </c>
      <c r="E77" s="3">
        <v>46260.517361111109</v>
      </c>
      <c r="F77" s="3">
        <v>46260.522222222222</v>
      </c>
      <c r="G77" s="3">
        <v>46260.535416666666</v>
      </c>
      <c r="H77" s="3">
        <v>46260.572222222225</v>
      </c>
      <c r="I77" s="3">
        <v>46260.577777777777</v>
      </c>
      <c r="J77" s="6">
        <f>IF(OR(NOT(ISNUMBER(Raw_Data[[#This Row],[Table_Vacated_Time]])),NOT(ISNUMBER(Raw_Data[[#This Row],[Seating_Time]])))," ",Raw_Data[[#This Row],[Table_Vacated_Time]]-Raw_Data[[#This Row],[Seating_Time]])</f>
        <v>6.0416666667151731E-2</v>
      </c>
      <c r="K77">
        <v>2082.0500000000002</v>
      </c>
      <c r="L77" s="1" t="s">
        <v>18</v>
      </c>
      <c r="M77" s="1" t="s">
        <v>47</v>
      </c>
      <c r="N77" s="1" t="s">
        <v>41</v>
      </c>
      <c r="O77" s="1" t="s">
        <v>277</v>
      </c>
      <c r="P77" s="1" t="s">
        <v>34</v>
      </c>
      <c r="Q77" s="1" t="s">
        <v>81</v>
      </c>
      <c r="R77">
        <v>14</v>
      </c>
    </row>
    <row r="78" spans="1:18" x14ac:dyDescent="0.25">
      <c r="A78" s="1" t="s">
        <v>119</v>
      </c>
      <c r="B78" s="4">
        <v>46247</v>
      </c>
      <c r="C78" s="2">
        <v>0.84375</v>
      </c>
      <c r="D78">
        <v>6</v>
      </c>
      <c r="E78" s="3">
        <v>46247.84375</v>
      </c>
      <c r="F78" s="3">
        <v>46247.848611111112</v>
      </c>
      <c r="G78" s="3">
        <v>46247.861805555556</v>
      </c>
      <c r="H78" s="3">
        <v>46247.895833333336</v>
      </c>
      <c r="I78" s="3">
        <v>46247.904166666667</v>
      </c>
      <c r="J78" s="6">
        <f>IF(OR(NOT(ISNUMBER(Raw_Data[[#This Row],[Table_Vacated_Time]])),NOT(ISNUMBER(Raw_Data[[#This Row],[Seating_Time]])))," ",Raw_Data[[#This Row],[Table_Vacated_Time]]-Raw_Data[[#This Row],[Seating_Time]])</f>
        <v>6.0416666667151731E-2</v>
      </c>
      <c r="K78">
        <v>1917.88</v>
      </c>
      <c r="L78" s="1" t="s">
        <v>31</v>
      </c>
      <c r="M78" s="1" t="s">
        <v>44</v>
      </c>
      <c r="N78" s="1" t="s">
        <v>20</v>
      </c>
      <c r="O78" s="1" t="s">
        <v>280</v>
      </c>
      <c r="P78" s="1" t="s">
        <v>34</v>
      </c>
      <c r="Q78" s="1" t="s">
        <v>39</v>
      </c>
      <c r="R78">
        <v>19</v>
      </c>
    </row>
    <row r="79" spans="1:18" x14ac:dyDescent="0.25">
      <c r="A79" s="1" t="s">
        <v>120</v>
      </c>
      <c r="B79" s="4">
        <v>46240</v>
      </c>
      <c r="C79" s="2">
        <v>0.51736111111111116</v>
      </c>
      <c r="D79">
        <v>8</v>
      </c>
      <c r="E79" s="3">
        <v>46240.517361111109</v>
      </c>
      <c r="F79" s="3">
        <v>46240.527777777781</v>
      </c>
      <c r="G79" s="3">
        <v>46240.545138888891</v>
      </c>
      <c r="H79" s="3">
        <v>46240.589583333334</v>
      </c>
      <c r="I79" s="3">
        <v>46240.59375</v>
      </c>
      <c r="J79" s="6">
        <f>IF(OR(NOT(ISNUMBER(Raw_Data[[#This Row],[Table_Vacated_Time]])),NOT(ISNUMBER(Raw_Data[[#This Row],[Seating_Time]])))," ",Raw_Data[[#This Row],[Table_Vacated_Time]]-Raw_Data[[#This Row],[Seating_Time]])</f>
        <v>7.6388888890505768E-2</v>
      </c>
      <c r="K79">
        <v>1945.55</v>
      </c>
      <c r="L79" s="1" t="s">
        <v>31</v>
      </c>
      <c r="M79" s="1" t="s">
        <v>32</v>
      </c>
      <c r="N79" s="1" t="s">
        <v>20</v>
      </c>
      <c r="O79" s="1"/>
      <c r="P79" s="1" t="s">
        <v>29</v>
      </c>
      <c r="Q79" s="1" t="s">
        <v>22</v>
      </c>
      <c r="R79">
        <v>10</v>
      </c>
    </row>
    <row r="80" spans="1:18" x14ac:dyDescent="0.25">
      <c r="A80" s="1" t="s">
        <v>121</v>
      </c>
      <c r="B80" s="4">
        <v>46242</v>
      </c>
      <c r="C80" s="2">
        <v>0.76736111111111116</v>
      </c>
      <c r="D80">
        <v>8</v>
      </c>
      <c r="E80" s="3">
        <v>46242.767361111109</v>
      </c>
      <c r="F80" s="3">
        <v>46242.77847222222</v>
      </c>
      <c r="G80" s="3">
        <v>46242.793055555558</v>
      </c>
      <c r="H80" s="3">
        <v>46242.807638888888</v>
      </c>
      <c r="I80" s="3">
        <v>46242.818055555559</v>
      </c>
      <c r="J80" s="6">
        <f>IF(OR(NOT(ISNUMBER(Raw_Data[[#This Row],[Table_Vacated_Time]])),NOT(ISNUMBER(Raw_Data[[#This Row],[Seating_Time]])))," ",Raw_Data[[#This Row],[Table_Vacated_Time]]-Raw_Data[[#This Row],[Seating_Time]])</f>
        <v>5.0694444449618459E-2</v>
      </c>
      <c r="K80">
        <v>2160.4699999999998</v>
      </c>
      <c r="L80" s="1" t="s">
        <v>31</v>
      </c>
      <c r="M80" s="1" t="s">
        <v>44</v>
      </c>
      <c r="N80" s="1" t="s">
        <v>33</v>
      </c>
      <c r="O80" s="1" t="s">
        <v>278</v>
      </c>
      <c r="P80" s="1" t="s">
        <v>34</v>
      </c>
      <c r="Q80" s="1" t="s">
        <v>24</v>
      </c>
      <c r="R80">
        <v>10</v>
      </c>
    </row>
    <row r="81" spans="1:18" x14ac:dyDescent="0.25">
      <c r="A81" s="1" t="s">
        <v>122</v>
      </c>
      <c r="B81" s="4">
        <v>46261</v>
      </c>
      <c r="C81" s="2">
        <v>0.88888888888888884</v>
      </c>
      <c r="D81">
        <v>3</v>
      </c>
      <c r="E81" s="3">
        <v>46261.888888888891</v>
      </c>
      <c r="F81" s="3">
        <v>46261.900694444441</v>
      </c>
      <c r="G81" s="3">
        <v>46261.916666666664</v>
      </c>
      <c r="H81" s="3">
        <v>46261.94027777778</v>
      </c>
      <c r="I81" s="3">
        <v>46261.948611111111</v>
      </c>
      <c r="J81" s="6">
        <f>IF(OR(NOT(ISNUMBER(Raw_Data[[#This Row],[Table_Vacated_Time]])),NOT(ISNUMBER(Raw_Data[[#This Row],[Seating_Time]])))," ",Raw_Data[[#This Row],[Table_Vacated_Time]]-Raw_Data[[#This Row],[Seating_Time]])</f>
        <v>5.9722222220443655E-2</v>
      </c>
      <c r="K81">
        <v>610</v>
      </c>
      <c r="L81" s="1" t="s">
        <v>31</v>
      </c>
      <c r="M81" s="1" t="s">
        <v>47</v>
      </c>
      <c r="N81" s="1" t="s">
        <v>33</v>
      </c>
      <c r="O81" s="1"/>
      <c r="P81" s="1" t="s">
        <v>34</v>
      </c>
      <c r="Q81" s="1" t="s">
        <v>53</v>
      </c>
      <c r="R81">
        <v>20</v>
      </c>
    </row>
    <row r="82" spans="1:18" x14ac:dyDescent="0.25">
      <c r="A82" s="1" t="s">
        <v>123</v>
      </c>
      <c r="B82" s="4">
        <v>46244</v>
      </c>
      <c r="C82" s="2">
        <v>0.875</v>
      </c>
      <c r="D82">
        <v>8</v>
      </c>
      <c r="E82" s="3">
        <v>46244.875</v>
      </c>
      <c r="F82" s="3">
        <v>46244.886111111111</v>
      </c>
      <c r="G82" s="3">
        <v>46244.897222222222</v>
      </c>
      <c r="H82" s="3">
        <v>46244.914583333331</v>
      </c>
      <c r="I82" s="3">
        <v>46244.918749999997</v>
      </c>
      <c r="J82" s="6">
        <f>IF(OR(NOT(ISNUMBER(Raw_Data[[#This Row],[Table_Vacated_Time]])),NOT(ISNUMBER(Raw_Data[[#This Row],[Seating_Time]])))," ",Raw_Data[[#This Row],[Table_Vacated_Time]]-Raw_Data[[#This Row],[Seating_Time]])</f>
        <v>4.3749999997089617E-2</v>
      </c>
      <c r="K82">
        <v>1989.18</v>
      </c>
      <c r="L82" s="1" t="s">
        <v>28</v>
      </c>
      <c r="M82" s="1" t="s">
        <v>47</v>
      </c>
      <c r="N82" s="1" t="s">
        <v>41</v>
      </c>
      <c r="O82" s="1" t="s">
        <v>279</v>
      </c>
      <c r="P82" s="1" t="s">
        <v>34</v>
      </c>
      <c r="Q82" s="1" t="s">
        <v>19</v>
      </c>
      <c r="R82">
        <v>12</v>
      </c>
    </row>
    <row r="83" spans="1:18" x14ac:dyDescent="0.25">
      <c r="A83" s="1" t="s">
        <v>124</v>
      </c>
      <c r="B83" s="4">
        <v>46251</v>
      </c>
      <c r="C83" s="2">
        <v>0.80555555555555558</v>
      </c>
      <c r="D83">
        <v>2</v>
      </c>
      <c r="E83" s="3">
        <v>46251.805555555555</v>
      </c>
      <c r="F83" s="3">
        <v>46251.818055555559</v>
      </c>
      <c r="G83" s="3">
        <v>46251.836805555555</v>
      </c>
      <c r="H83" s="3">
        <v>46251.863194444442</v>
      </c>
      <c r="I83" s="3">
        <v>46251.87222222222</v>
      </c>
      <c r="J83" s="6">
        <f>IF(OR(NOT(ISNUMBER(Raw_Data[[#This Row],[Table_Vacated_Time]])),NOT(ISNUMBER(Raw_Data[[#This Row],[Seating_Time]])))," ",Raw_Data[[#This Row],[Table_Vacated_Time]]-Raw_Data[[#This Row],[Seating_Time]])</f>
        <v>6.6666666665696539E-2</v>
      </c>
      <c r="K83">
        <v>1586.41</v>
      </c>
      <c r="L83" s="1" t="s">
        <v>28</v>
      </c>
      <c r="M83" s="1" t="s">
        <v>24</v>
      </c>
      <c r="N83" s="1" t="s">
        <v>33</v>
      </c>
      <c r="O83" s="1" t="s">
        <v>279</v>
      </c>
      <c r="P83" s="1" t="s">
        <v>21</v>
      </c>
      <c r="Q83" s="1" t="s">
        <v>81</v>
      </c>
      <c r="R83">
        <v>9</v>
      </c>
    </row>
    <row r="84" spans="1:18" x14ac:dyDescent="0.25">
      <c r="A84" s="1" t="s">
        <v>125</v>
      </c>
      <c r="B84" s="4">
        <v>46256</v>
      </c>
      <c r="C84" s="2">
        <v>0.85416666666666663</v>
      </c>
      <c r="D84">
        <v>7</v>
      </c>
      <c r="E84" s="3">
        <v>46256.854166666664</v>
      </c>
      <c r="F84" s="3">
        <v>46256.85833333333</v>
      </c>
      <c r="G84" s="3">
        <v>46256.884027777778</v>
      </c>
      <c r="H84" s="3">
        <v>46256.915277777778</v>
      </c>
      <c r="I84" s="3">
        <v>46256.916666666664</v>
      </c>
      <c r="J84" s="6">
        <f>IF(OR(NOT(ISNUMBER(Raw_Data[[#This Row],[Table_Vacated_Time]])),NOT(ISNUMBER(Raw_Data[[#This Row],[Seating_Time]])))," ",Raw_Data[[#This Row],[Table_Vacated_Time]]-Raw_Data[[#This Row],[Seating_Time]])</f>
        <v>6.25E-2</v>
      </c>
      <c r="K84">
        <v>2802.84</v>
      </c>
      <c r="L84" s="1" t="s">
        <v>28</v>
      </c>
      <c r="M84" s="1" t="s">
        <v>24</v>
      </c>
      <c r="N84" s="1" t="s">
        <v>25</v>
      </c>
      <c r="O84" s="1"/>
      <c r="P84" s="1" t="s">
        <v>34</v>
      </c>
      <c r="Q84" s="1" t="s">
        <v>66</v>
      </c>
      <c r="R84">
        <v>12</v>
      </c>
    </row>
    <row r="85" spans="1:18" x14ac:dyDescent="0.25">
      <c r="A85" s="1" t="s">
        <v>126</v>
      </c>
      <c r="B85" s="4">
        <v>46243</v>
      </c>
      <c r="C85" s="2">
        <v>0.82638888888888884</v>
      </c>
      <c r="D85">
        <v>4</v>
      </c>
      <c r="E85" s="3">
        <v>46243.826388888891</v>
      </c>
      <c r="F85" s="3">
        <v>46243.836805555555</v>
      </c>
      <c r="G85" s="3">
        <v>46243.85</v>
      </c>
      <c r="H85" s="3">
        <v>46243.884722222225</v>
      </c>
      <c r="I85" s="3">
        <v>46243.886111111111</v>
      </c>
      <c r="J85" s="6">
        <f>IF(OR(NOT(ISNUMBER(Raw_Data[[#This Row],[Table_Vacated_Time]])),NOT(ISNUMBER(Raw_Data[[#This Row],[Seating_Time]])))," ",Raw_Data[[#This Row],[Table_Vacated_Time]]-Raw_Data[[#This Row],[Seating_Time]])</f>
        <v>5.9722222220443655E-2</v>
      </c>
      <c r="K85">
        <v>1344.95</v>
      </c>
      <c r="L85" s="1" t="s">
        <v>18</v>
      </c>
      <c r="M85" s="1" t="s">
        <v>22</v>
      </c>
      <c r="N85" s="1" t="s">
        <v>41</v>
      </c>
      <c r="O85" s="1"/>
      <c r="P85" s="1" t="s">
        <v>21</v>
      </c>
      <c r="Q85" s="1" t="s">
        <v>66</v>
      </c>
      <c r="R85">
        <v>4</v>
      </c>
    </row>
    <row r="86" spans="1:18" x14ac:dyDescent="0.25">
      <c r="A86" s="1" t="s">
        <v>127</v>
      </c>
      <c r="B86" s="4">
        <v>46261</v>
      </c>
      <c r="C86" s="2">
        <v>0.82986111111111116</v>
      </c>
      <c r="D86">
        <v>4</v>
      </c>
      <c r="E86" s="3">
        <v>46261.829861111109</v>
      </c>
      <c r="F86" s="3">
        <v>46261.834027777775</v>
      </c>
      <c r="G86" s="3">
        <v>46261.845138888886</v>
      </c>
      <c r="H86" s="3">
        <v>46261.86041666667</v>
      </c>
      <c r="I86" s="3">
        <v>46261.861805555556</v>
      </c>
      <c r="J86" s="6">
        <f>IF(OR(NOT(ISNUMBER(Raw_Data[[#This Row],[Table_Vacated_Time]])),NOT(ISNUMBER(Raw_Data[[#This Row],[Seating_Time]])))," ",Raw_Data[[#This Row],[Table_Vacated_Time]]-Raw_Data[[#This Row],[Seating_Time]])</f>
        <v>3.1944444446708076E-2</v>
      </c>
      <c r="K86">
        <v>1185.33</v>
      </c>
      <c r="L86" s="1" t="s">
        <v>28</v>
      </c>
      <c r="M86" s="1" t="s">
        <v>19</v>
      </c>
      <c r="N86" s="1" t="s">
        <v>33</v>
      </c>
      <c r="O86" s="1" t="s">
        <v>279</v>
      </c>
      <c r="P86" s="1" t="s">
        <v>34</v>
      </c>
      <c r="Q86" s="1" t="s">
        <v>44</v>
      </c>
      <c r="R86">
        <v>14</v>
      </c>
    </row>
    <row r="87" spans="1:18" x14ac:dyDescent="0.25">
      <c r="A87" s="1" t="s">
        <v>128</v>
      </c>
      <c r="B87" s="4">
        <v>46247</v>
      </c>
      <c r="C87" s="2">
        <v>0.82638888888888884</v>
      </c>
      <c r="D87">
        <v>7</v>
      </c>
      <c r="E87" s="3">
        <v>46247.826388888891</v>
      </c>
      <c r="F87" s="3">
        <v>46247.836111111108</v>
      </c>
      <c r="G87" s="3">
        <v>46247.86041666667</v>
      </c>
      <c r="H87" s="3">
        <v>46247.880555555559</v>
      </c>
      <c r="I87" s="3">
        <v>46247.886111111111</v>
      </c>
      <c r="J87" s="6">
        <f>IF(OR(NOT(ISNUMBER(Raw_Data[[#This Row],[Table_Vacated_Time]])),NOT(ISNUMBER(Raw_Data[[#This Row],[Seating_Time]])))," ",Raw_Data[[#This Row],[Table_Vacated_Time]]-Raw_Data[[#This Row],[Seating_Time]])</f>
        <v>5.9722222220443655E-2</v>
      </c>
      <c r="K87">
        <v>1714.03</v>
      </c>
      <c r="L87" s="1" t="s">
        <v>28</v>
      </c>
      <c r="M87" s="1" t="s">
        <v>38</v>
      </c>
      <c r="N87" s="1" t="s">
        <v>25</v>
      </c>
      <c r="O87" s="1" t="s">
        <v>277</v>
      </c>
      <c r="P87" s="1" t="s">
        <v>34</v>
      </c>
      <c r="Q87" s="1" t="s">
        <v>19</v>
      </c>
      <c r="R87">
        <v>14</v>
      </c>
    </row>
    <row r="88" spans="1:18" x14ac:dyDescent="0.25">
      <c r="A88" s="1" t="s">
        <v>129</v>
      </c>
      <c r="B88" s="4">
        <v>46241</v>
      </c>
      <c r="C88" s="2">
        <v>0.80208333333333337</v>
      </c>
      <c r="D88">
        <v>4</v>
      </c>
      <c r="E88" s="3">
        <v>46241.802083333336</v>
      </c>
      <c r="F88" s="3">
        <v>46241.8125</v>
      </c>
      <c r="G88" s="3">
        <v>46241.828472222223</v>
      </c>
      <c r="H88" s="3">
        <v>46241.865972222222</v>
      </c>
      <c r="I88" s="3">
        <v>46241.874305555553</v>
      </c>
      <c r="J88" s="6">
        <f>IF(OR(NOT(ISNUMBER(Raw_Data[[#This Row],[Table_Vacated_Time]])),NOT(ISNUMBER(Raw_Data[[#This Row],[Seating_Time]])))," ",Raw_Data[[#This Row],[Table_Vacated_Time]]-Raw_Data[[#This Row],[Seating_Time]])</f>
        <v>7.2222222217533272E-2</v>
      </c>
      <c r="K88">
        <v>2133.4699999999998</v>
      </c>
      <c r="L88" s="1" t="s">
        <v>28</v>
      </c>
      <c r="M88" s="1" t="s">
        <v>59</v>
      </c>
      <c r="N88" s="1" t="s">
        <v>41</v>
      </c>
      <c r="O88" s="1" t="s">
        <v>277</v>
      </c>
      <c r="P88" s="1" t="s">
        <v>29</v>
      </c>
      <c r="Q88" s="1" t="s">
        <v>22</v>
      </c>
      <c r="R88">
        <v>4</v>
      </c>
    </row>
    <row r="89" spans="1:18" x14ac:dyDescent="0.25">
      <c r="A89" s="1" t="s">
        <v>130</v>
      </c>
      <c r="B89" s="4">
        <v>46256</v>
      </c>
      <c r="C89" s="2">
        <v>0.57638888888888884</v>
      </c>
      <c r="D89">
        <v>8</v>
      </c>
      <c r="E89" s="3">
        <v>46256.576388888891</v>
      </c>
      <c r="F89" s="3">
        <v>46256.579861111109</v>
      </c>
      <c r="G89" s="3">
        <v>46256.605555555558</v>
      </c>
      <c r="H89" s="3">
        <v>46256.634027777778</v>
      </c>
      <c r="I89" s="3">
        <v>46256.637499999997</v>
      </c>
      <c r="J89" s="6">
        <f>IF(OR(NOT(ISNUMBER(Raw_Data[[#This Row],[Table_Vacated_Time]])),NOT(ISNUMBER(Raw_Data[[#This Row],[Seating_Time]])))," ",Raw_Data[[#This Row],[Table_Vacated_Time]]-Raw_Data[[#This Row],[Seating_Time]])</f>
        <v>6.1111111106583849E-2</v>
      </c>
      <c r="K89">
        <v>2290.81</v>
      </c>
      <c r="L89" s="1" t="s">
        <v>18</v>
      </c>
      <c r="M89" s="1" t="s">
        <v>32</v>
      </c>
      <c r="N89" s="1" t="s">
        <v>33</v>
      </c>
      <c r="O89" s="1"/>
      <c r="P89" s="1" t="s">
        <v>34</v>
      </c>
      <c r="Q89" s="1" t="s">
        <v>32</v>
      </c>
      <c r="R89">
        <v>1</v>
      </c>
    </row>
    <row r="90" spans="1:18" x14ac:dyDescent="0.25">
      <c r="A90" s="1" t="s">
        <v>131</v>
      </c>
      <c r="B90" s="4">
        <v>46253</v>
      </c>
      <c r="C90" s="2">
        <v>0.55208333333333337</v>
      </c>
      <c r="D90">
        <v>4</v>
      </c>
      <c r="E90" s="3">
        <v>46253.552083333336</v>
      </c>
      <c r="F90" s="3">
        <v>46253.563888888886</v>
      </c>
      <c r="G90" s="3">
        <v>46253.585416666669</v>
      </c>
      <c r="H90" s="3">
        <v>46253.599305555559</v>
      </c>
      <c r="I90" s="3">
        <v>46253.603472222225</v>
      </c>
      <c r="J90" s="6">
        <f>IF(OR(NOT(ISNUMBER(Raw_Data[[#This Row],[Table_Vacated_Time]])),NOT(ISNUMBER(Raw_Data[[#This Row],[Seating_Time]])))," ",Raw_Data[[#This Row],[Table_Vacated_Time]]-Raw_Data[[#This Row],[Seating_Time]])</f>
        <v>5.1388888889050577E-2</v>
      </c>
      <c r="K90">
        <v>1338.63</v>
      </c>
      <c r="L90" s="1" t="s">
        <v>18</v>
      </c>
      <c r="M90" s="1" t="s">
        <v>47</v>
      </c>
      <c r="N90" s="1" t="s">
        <v>25</v>
      </c>
      <c r="O90" s="1"/>
      <c r="P90" s="1" t="s">
        <v>21</v>
      </c>
      <c r="Q90" s="1" t="s">
        <v>22</v>
      </c>
      <c r="R90">
        <v>5</v>
      </c>
    </row>
    <row r="91" spans="1:18" x14ac:dyDescent="0.25">
      <c r="A91" s="1" t="s">
        <v>132</v>
      </c>
      <c r="B91" s="4">
        <v>46256</v>
      </c>
      <c r="C91" s="2">
        <v>0.88194444444444442</v>
      </c>
      <c r="D91">
        <v>1</v>
      </c>
      <c r="E91" s="3">
        <v>46256.881944444445</v>
      </c>
      <c r="F91" s="3">
        <v>46256.893750000003</v>
      </c>
      <c r="G91" s="3">
        <v>46256.919444444444</v>
      </c>
      <c r="H91" s="3">
        <v>46256.943749999999</v>
      </c>
      <c r="I91" s="3">
        <v>46256.951388888891</v>
      </c>
      <c r="J91" s="6">
        <f>IF(OR(NOT(ISNUMBER(Raw_Data[[#This Row],[Table_Vacated_Time]])),NOT(ISNUMBER(Raw_Data[[#This Row],[Seating_Time]])))," ",Raw_Data[[#This Row],[Table_Vacated_Time]]-Raw_Data[[#This Row],[Seating_Time]])</f>
        <v>6.9444444445252884E-2</v>
      </c>
      <c r="K91">
        <v>1552.3</v>
      </c>
      <c r="L91" s="1" t="s">
        <v>18</v>
      </c>
      <c r="M91" s="1" t="s">
        <v>59</v>
      </c>
      <c r="N91" s="1" t="s">
        <v>33</v>
      </c>
      <c r="O91" s="1" t="s">
        <v>279</v>
      </c>
      <c r="P91" s="1" t="s">
        <v>34</v>
      </c>
      <c r="Q91" s="1" t="s">
        <v>42</v>
      </c>
      <c r="R91">
        <v>12</v>
      </c>
    </row>
    <row r="92" spans="1:18" x14ac:dyDescent="0.25">
      <c r="A92" s="1" t="s">
        <v>133</v>
      </c>
      <c r="B92" s="4">
        <v>46251</v>
      </c>
      <c r="C92" s="2">
        <v>0.50347222222222221</v>
      </c>
      <c r="D92">
        <v>6</v>
      </c>
      <c r="E92" s="3">
        <v>46251.503472222219</v>
      </c>
      <c r="F92" s="3">
        <v>46251.515277777777</v>
      </c>
      <c r="G92" s="3">
        <v>46251.53125</v>
      </c>
      <c r="H92" s="3">
        <v>46251.567361111112</v>
      </c>
      <c r="I92" s="3">
        <v>46251.574999999997</v>
      </c>
      <c r="J92" s="6">
        <f>IF(OR(NOT(ISNUMBER(Raw_Data[[#This Row],[Table_Vacated_Time]])),NOT(ISNUMBER(Raw_Data[[#This Row],[Seating_Time]])))," ",Raw_Data[[#This Row],[Table_Vacated_Time]]-Raw_Data[[#This Row],[Seating_Time]])</f>
        <v>7.1527777778101154E-2</v>
      </c>
      <c r="K92">
        <v>1923.39</v>
      </c>
      <c r="L92" s="1" t="s">
        <v>18</v>
      </c>
      <c r="M92" s="1" t="s">
        <v>32</v>
      </c>
      <c r="N92" s="1" t="s">
        <v>33</v>
      </c>
      <c r="O92" s="1"/>
      <c r="P92" s="1" t="s">
        <v>34</v>
      </c>
      <c r="Q92" s="1" t="s">
        <v>39</v>
      </c>
      <c r="R92">
        <v>15</v>
      </c>
    </row>
    <row r="93" spans="1:18" x14ac:dyDescent="0.25">
      <c r="A93" s="1" t="s">
        <v>134</v>
      </c>
      <c r="B93" s="4">
        <v>46244</v>
      </c>
      <c r="C93" s="2">
        <v>0.79166666666666663</v>
      </c>
      <c r="E93" s="3">
        <v>46244.791666666664</v>
      </c>
      <c r="F93" s="3">
        <v>46244.804166666669</v>
      </c>
      <c r="G93" s="3">
        <v>46244.820833333331</v>
      </c>
      <c r="H93" s="3">
        <v>46244.853472222225</v>
      </c>
      <c r="I93" s="3">
        <v>46244.861805555556</v>
      </c>
      <c r="J93" s="6">
        <f>IF(OR(NOT(ISNUMBER(Raw_Data[[#This Row],[Table_Vacated_Time]])),NOT(ISNUMBER(Raw_Data[[#This Row],[Seating_Time]])))," ",Raw_Data[[#This Row],[Table_Vacated_Time]]-Raw_Data[[#This Row],[Seating_Time]])</f>
        <v>7.013888889196096E-2</v>
      </c>
      <c r="K93">
        <v>1802.75</v>
      </c>
      <c r="L93" s="1" t="s">
        <v>31</v>
      </c>
      <c r="M93" s="1" t="s">
        <v>24</v>
      </c>
      <c r="N93" s="1" t="s">
        <v>33</v>
      </c>
      <c r="O93" s="1" t="s">
        <v>277</v>
      </c>
      <c r="P93" s="1" t="s">
        <v>29</v>
      </c>
      <c r="Q93" s="1" t="s">
        <v>92</v>
      </c>
      <c r="R93">
        <v>16</v>
      </c>
    </row>
    <row r="94" spans="1:18" x14ac:dyDescent="0.25">
      <c r="A94" s="1" t="s">
        <v>135</v>
      </c>
      <c r="B94" s="4">
        <v>46239</v>
      </c>
      <c r="C94" s="2">
        <v>0.51388888888888884</v>
      </c>
      <c r="D94">
        <v>8</v>
      </c>
      <c r="E94" s="3">
        <v>46239.513888888891</v>
      </c>
      <c r="F94" s="3">
        <v>46239.522916666669</v>
      </c>
      <c r="G94" s="3">
        <v>46239.546527777777</v>
      </c>
      <c r="H94" s="3">
        <v>46239.574305555558</v>
      </c>
      <c r="I94" s="3">
        <v>46239.579861111109</v>
      </c>
      <c r="J94" s="6">
        <f>IF(OR(NOT(ISNUMBER(Raw_Data[[#This Row],[Table_Vacated_Time]])),NOT(ISNUMBER(Raw_Data[[#This Row],[Seating_Time]])))," ",Raw_Data[[#This Row],[Table_Vacated_Time]]-Raw_Data[[#This Row],[Seating_Time]])</f>
        <v>6.5972222218988463E-2</v>
      </c>
      <c r="K94">
        <v>1723.87</v>
      </c>
      <c r="L94" s="1" t="s">
        <v>18</v>
      </c>
      <c r="M94" s="1" t="s">
        <v>59</v>
      </c>
      <c r="N94" s="1" t="s">
        <v>20</v>
      </c>
      <c r="O94" s="1" t="s">
        <v>278</v>
      </c>
      <c r="P94" s="1" t="s">
        <v>34</v>
      </c>
      <c r="Q94" s="1" t="s">
        <v>42</v>
      </c>
      <c r="R94">
        <v>19</v>
      </c>
    </row>
    <row r="95" spans="1:18" x14ac:dyDescent="0.25">
      <c r="A95" s="1" t="s">
        <v>136</v>
      </c>
      <c r="B95" s="4">
        <v>46238</v>
      </c>
      <c r="C95" s="2">
        <v>0.87847222222222221</v>
      </c>
      <c r="D95">
        <v>7</v>
      </c>
      <c r="E95" s="3">
        <v>46238.878472222219</v>
      </c>
      <c r="F95" s="3">
        <v>46238.886111111111</v>
      </c>
      <c r="G95" s="3">
        <v>46238.904166666667</v>
      </c>
      <c r="H95" s="3">
        <v>46238.927777777775</v>
      </c>
      <c r="I95" s="3">
        <v>46238.933333333334</v>
      </c>
      <c r="J95" s="6">
        <f>IF(OR(NOT(ISNUMBER(Raw_Data[[#This Row],[Table_Vacated_Time]])),NOT(ISNUMBER(Raw_Data[[#This Row],[Seating_Time]])))," ",Raw_Data[[#This Row],[Table_Vacated_Time]]-Raw_Data[[#This Row],[Seating_Time]])</f>
        <v>5.4861111115314998E-2</v>
      </c>
      <c r="K95">
        <v>1809.79</v>
      </c>
      <c r="L95" s="1" t="s">
        <v>28</v>
      </c>
      <c r="M95" s="1" t="s">
        <v>38</v>
      </c>
      <c r="N95" s="1" t="s">
        <v>20</v>
      </c>
      <c r="O95" s="1"/>
      <c r="P95" s="1" t="s">
        <v>21</v>
      </c>
      <c r="Q95" s="1" t="s">
        <v>19</v>
      </c>
      <c r="R95">
        <v>7</v>
      </c>
    </row>
    <row r="96" spans="1:18" x14ac:dyDescent="0.25">
      <c r="A96" s="1" t="s">
        <v>137</v>
      </c>
      <c r="B96" s="4">
        <v>46248</v>
      </c>
      <c r="C96" s="2">
        <v>0.59722222222222221</v>
      </c>
      <c r="D96">
        <v>4</v>
      </c>
      <c r="E96" s="3">
        <v>46248.597222222219</v>
      </c>
      <c r="F96" s="3">
        <v>46248.607638888891</v>
      </c>
      <c r="G96" s="3">
        <v>46248.626388888886</v>
      </c>
      <c r="H96" s="3">
        <v>46248.643055555556</v>
      </c>
      <c r="I96" s="3">
        <v>46248.645138888889</v>
      </c>
      <c r="J96" s="6">
        <f>IF(OR(NOT(ISNUMBER(Raw_Data[[#This Row],[Table_Vacated_Time]])),NOT(ISNUMBER(Raw_Data[[#This Row],[Seating_Time]])))," ",Raw_Data[[#This Row],[Table_Vacated_Time]]-Raw_Data[[#This Row],[Seating_Time]])</f>
        <v>4.7916666670062114E-2</v>
      </c>
      <c r="K96">
        <v>1414.34</v>
      </c>
      <c r="L96" s="1" t="s">
        <v>28</v>
      </c>
      <c r="M96" s="1" t="s">
        <v>38</v>
      </c>
      <c r="N96" s="1" t="s">
        <v>33</v>
      </c>
      <c r="O96" s="1"/>
      <c r="P96" s="1" t="s">
        <v>34</v>
      </c>
      <c r="Q96" s="1" t="s">
        <v>19</v>
      </c>
      <c r="R96">
        <v>5</v>
      </c>
    </row>
    <row r="97" spans="1:18" x14ac:dyDescent="0.25">
      <c r="A97" s="1" t="s">
        <v>138</v>
      </c>
      <c r="B97" s="4">
        <v>46260</v>
      </c>
      <c r="C97" s="2">
        <v>0.5</v>
      </c>
      <c r="D97">
        <v>8</v>
      </c>
      <c r="E97" s="3">
        <v>46260.5</v>
      </c>
      <c r="F97" s="3">
        <v>46260.509027777778</v>
      </c>
      <c r="G97" s="3">
        <v>46260.524305555555</v>
      </c>
      <c r="H97" s="3">
        <v>46260.567361111112</v>
      </c>
      <c r="I97" s="3">
        <v>46260.569444444445</v>
      </c>
      <c r="J97" s="6">
        <f>IF(OR(NOT(ISNUMBER(Raw_Data[[#This Row],[Table_Vacated_Time]])),NOT(ISNUMBER(Raw_Data[[#This Row],[Seating_Time]])))," ",Raw_Data[[#This Row],[Table_Vacated_Time]]-Raw_Data[[#This Row],[Seating_Time]])</f>
        <v>6.9444444445252884E-2</v>
      </c>
      <c r="K97">
        <v>1305.07</v>
      </c>
      <c r="L97" s="1" t="s">
        <v>28</v>
      </c>
      <c r="M97" s="1" t="s">
        <v>38</v>
      </c>
      <c r="N97" s="1" t="s">
        <v>33</v>
      </c>
      <c r="O97" s="1" t="s">
        <v>280</v>
      </c>
      <c r="P97" s="1" t="s">
        <v>34</v>
      </c>
      <c r="Q97" s="1" t="s">
        <v>36</v>
      </c>
      <c r="R97">
        <v>18</v>
      </c>
    </row>
    <row r="98" spans="1:18" x14ac:dyDescent="0.25">
      <c r="A98" s="1" t="s">
        <v>139</v>
      </c>
      <c r="B98" s="4">
        <v>46246</v>
      </c>
      <c r="C98" s="2">
        <v>0.52777777777777779</v>
      </c>
      <c r="D98">
        <v>3</v>
      </c>
      <c r="E98" s="3">
        <v>46246.527777777781</v>
      </c>
      <c r="F98" s="3">
        <v>46246.538194444445</v>
      </c>
      <c r="G98" s="3">
        <v>46246.556944444441</v>
      </c>
      <c r="H98" s="3">
        <v>46246.580555555556</v>
      </c>
      <c r="I98" s="3">
        <v>46246.59097222222</v>
      </c>
      <c r="J98" s="6">
        <f>IF(OR(NOT(ISNUMBER(Raw_Data[[#This Row],[Table_Vacated_Time]])),NOT(ISNUMBER(Raw_Data[[#This Row],[Seating_Time]])))," ",Raw_Data[[#This Row],[Table_Vacated_Time]]-Raw_Data[[#This Row],[Seating_Time]])</f>
        <v>6.3194444439432118E-2</v>
      </c>
      <c r="K98">
        <v>1672.87</v>
      </c>
      <c r="L98" s="1" t="s">
        <v>18</v>
      </c>
      <c r="M98" s="1" t="s">
        <v>22</v>
      </c>
      <c r="N98" s="1" t="s">
        <v>33</v>
      </c>
      <c r="O98" s="1"/>
      <c r="P98" s="1" t="s">
        <v>29</v>
      </c>
      <c r="Q98" s="1" t="s">
        <v>92</v>
      </c>
      <c r="R98">
        <v>5</v>
      </c>
    </row>
    <row r="99" spans="1:18" x14ac:dyDescent="0.25">
      <c r="A99" s="1" t="s">
        <v>140</v>
      </c>
      <c r="B99" s="4">
        <v>46242</v>
      </c>
      <c r="C99" s="2">
        <v>0.90277777777777779</v>
      </c>
      <c r="D99">
        <v>8</v>
      </c>
      <c r="E99" s="3">
        <v>46242.902777777781</v>
      </c>
      <c r="F99" s="3">
        <v>46242.913194444445</v>
      </c>
      <c r="G99" s="3">
        <v>46242.935416666667</v>
      </c>
      <c r="H99" s="3">
        <v>46242.973611111112</v>
      </c>
      <c r="I99" s="3">
        <v>46242.974999999999</v>
      </c>
      <c r="J99" s="6">
        <f>IF(OR(NOT(ISNUMBER(Raw_Data[[#This Row],[Table_Vacated_Time]])),NOT(ISNUMBER(Raw_Data[[#This Row],[Seating_Time]])))," ",Raw_Data[[#This Row],[Table_Vacated_Time]]-Raw_Data[[#This Row],[Seating_Time]])</f>
        <v>7.2222222217533272E-2</v>
      </c>
      <c r="K99">
        <v>2253.58</v>
      </c>
      <c r="L99" s="1" t="s">
        <v>31</v>
      </c>
      <c r="M99" s="1" t="s">
        <v>59</v>
      </c>
      <c r="N99" s="1" t="s">
        <v>33</v>
      </c>
      <c r="O99" s="1" t="s">
        <v>279</v>
      </c>
      <c r="P99" s="1" t="s">
        <v>29</v>
      </c>
      <c r="Q99" s="1" t="s">
        <v>48</v>
      </c>
      <c r="R99">
        <v>20</v>
      </c>
    </row>
    <row r="100" spans="1:18" x14ac:dyDescent="0.25">
      <c r="A100" s="1" t="s">
        <v>141</v>
      </c>
      <c r="B100" s="4">
        <v>46259</v>
      </c>
      <c r="C100" s="2">
        <v>0.60069444444444442</v>
      </c>
      <c r="D100">
        <v>4</v>
      </c>
      <c r="E100" s="3">
        <v>46259.600694444445</v>
      </c>
      <c r="F100" s="3">
        <v>46259.605555555558</v>
      </c>
      <c r="G100" s="3">
        <v>46259.616666666669</v>
      </c>
      <c r="H100" s="3">
        <v>46259.655555555553</v>
      </c>
      <c r="I100" s="3">
        <v>46259.663888888892</v>
      </c>
      <c r="J100" s="6">
        <f>IF(OR(NOT(ISNUMBER(Raw_Data[[#This Row],[Table_Vacated_Time]])),NOT(ISNUMBER(Raw_Data[[#This Row],[Seating_Time]])))," ",Raw_Data[[#This Row],[Table_Vacated_Time]]-Raw_Data[[#This Row],[Seating_Time]])</f>
        <v>6.3194444446708076E-2</v>
      </c>
      <c r="K100">
        <v>1632.81</v>
      </c>
      <c r="L100" s="1" t="s">
        <v>18</v>
      </c>
      <c r="M100" s="1" t="s">
        <v>44</v>
      </c>
      <c r="N100" s="1" t="s">
        <v>33</v>
      </c>
      <c r="O100" s="1"/>
      <c r="P100" s="1" t="s">
        <v>34</v>
      </c>
      <c r="Q100" s="1" t="s">
        <v>32</v>
      </c>
      <c r="R100">
        <v>1</v>
      </c>
    </row>
    <row r="101" spans="1:18" x14ac:dyDescent="0.25">
      <c r="A101" s="1" t="s">
        <v>142</v>
      </c>
      <c r="B101" s="4">
        <v>46247</v>
      </c>
      <c r="C101" s="2">
        <v>0.76736111111111116</v>
      </c>
      <c r="D101">
        <v>2</v>
      </c>
      <c r="E101" s="3">
        <v>46247.767361111109</v>
      </c>
      <c r="F101" s="3">
        <v>46247.773611111108</v>
      </c>
      <c r="G101" s="3">
        <v>46247.79791666667</v>
      </c>
      <c r="H101" s="3">
        <v>46247.825694444444</v>
      </c>
      <c r="I101" s="3">
        <v>46247.835416666669</v>
      </c>
      <c r="J101" s="6">
        <f>IF(OR(NOT(ISNUMBER(Raw_Data[[#This Row],[Table_Vacated_Time]])),NOT(ISNUMBER(Raw_Data[[#This Row],[Seating_Time]])))," ",Raw_Data[[#This Row],[Table_Vacated_Time]]-Raw_Data[[#This Row],[Seating_Time]])</f>
        <v>6.805555555911269E-2</v>
      </c>
      <c r="K101">
        <v>1260.98</v>
      </c>
      <c r="L101" s="1" t="s">
        <v>18</v>
      </c>
      <c r="M101" s="1" t="s">
        <v>19</v>
      </c>
      <c r="N101" s="1" t="s">
        <v>33</v>
      </c>
      <c r="O101" s="1" t="s">
        <v>279</v>
      </c>
      <c r="P101" s="1" t="s">
        <v>21</v>
      </c>
      <c r="Q101" s="1" t="s">
        <v>26</v>
      </c>
      <c r="R101">
        <v>12</v>
      </c>
    </row>
    <row r="102" spans="1:18" x14ac:dyDescent="0.25">
      <c r="A102" s="1" t="s">
        <v>143</v>
      </c>
      <c r="B102" s="4">
        <v>46254</v>
      </c>
      <c r="C102" s="2">
        <v>0.46180555555555558</v>
      </c>
      <c r="D102">
        <v>4</v>
      </c>
      <c r="E102" s="3">
        <v>46254.461805555555</v>
      </c>
      <c r="F102" s="3">
        <v>46254.472222222219</v>
      </c>
      <c r="G102" s="3">
        <v>46254.489583333336</v>
      </c>
      <c r="H102" s="3">
        <v>46254.525000000001</v>
      </c>
      <c r="I102" s="3">
        <v>46254.532638888886</v>
      </c>
      <c r="J102" s="6">
        <f>IF(OR(NOT(ISNUMBER(Raw_Data[[#This Row],[Table_Vacated_Time]])),NOT(ISNUMBER(Raw_Data[[#This Row],[Seating_Time]])))," ",Raw_Data[[#This Row],[Table_Vacated_Time]]-Raw_Data[[#This Row],[Seating_Time]])</f>
        <v>7.0833333331393078E-2</v>
      </c>
      <c r="K102">
        <v>851.55</v>
      </c>
      <c r="L102" s="1" t="s">
        <v>31</v>
      </c>
      <c r="M102" s="1" t="s">
        <v>32</v>
      </c>
      <c r="N102" s="1" t="s">
        <v>33</v>
      </c>
      <c r="O102" s="1" t="s">
        <v>280</v>
      </c>
      <c r="P102" s="1" t="s">
        <v>29</v>
      </c>
      <c r="Q102" s="1" t="s">
        <v>22</v>
      </c>
      <c r="R102">
        <v>15</v>
      </c>
    </row>
    <row r="103" spans="1:18" x14ac:dyDescent="0.25">
      <c r="A103" s="1" t="s">
        <v>144</v>
      </c>
      <c r="B103" s="4">
        <v>46244</v>
      </c>
      <c r="C103" s="2">
        <v>0.86458333333333337</v>
      </c>
      <c r="D103">
        <v>6</v>
      </c>
      <c r="E103" s="3">
        <v>46244.864583333336</v>
      </c>
      <c r="F103" s="3">
        <v>46244.875</v>
      </c>
      <c r="G103" s="3">
        <v>46244.88958333333</v>
      </c>
      <c r="H103" s="3">
        <v>46244.904861111114</v>
      </c>
      <c r="I103" s="3">
        <v>46244.908333333333</v>
      </c>
      <c r="J103" s="6">
        <f>IF(OR(NOT(ISNUMBER(Raw_Data[[#This Row],[Table_Vacated_Time]])),NOT(ISNUMBER(Raw_Data[[#This Row],[Seating_Time]])))," ",Raw_Data[[#This Row],[Table_Vacated_Time]]-Raw_Data[[#This Row],[Seating_Time]])</f>
        <v>4.3749999997089617E-2</v>
      </c>
      <c r="K103">
        <v>1638.65</v>
      </c>
      <c r="L103" s="1" t="s">
        <v>18</v>
      </c>
      <c r="M103" s="1" t="s">
        <v>44</v>
      </c>
      <c r="N103" s="1" t="s">
        <v>33</v>
      </c>
      <c r="O103" s="1" t="s">
        <v>279</v>
      </c>
      <c r="P103" s="1" t="s">
        <v>29</v>
      </c>
      <c r="Q103" s="1" t="s">
        <v>32</v>
      </c>
      <c r="R103">
        <v>17</v>
      </c>
    </row>
    <row r="104" spans="1:18" x14ac:dyDescent="0.25">
      <c r="A104" s="1" t="s">
        <v>145</v>
      </c>
      <c r="B104" s="4">
        <v>46259</v>
      </c>
      <c r="C104" s="2">
        <v>0.51388888888888884</v>
      </c>
      <c r="D104">
        <v>4</v>
      </c>
      <c r="E104" s="3">
        <v>46259.513888888891</v>
      </c>
      <c r="F104" s="3">
        <v>46259.518055555556</v>
      </c>
      <c r="G104" s="3">
        <v>46259.526388888888</v>
      </c>
      <c r="H104" s="3">
        <v>46259.561805555553</v>
      </c>
      <c r="I104" s="3">
        <v>46259.570833333331</v>
      </c>
      <c r="J104" s="6">
        <f>IF(OR(NOT(ISNUMBER(Raw_Data[[#This Row],[Table_Vacated_Time]])),NOT(ISNUMBER(Raw_Data[[#This Row],[Seating_Time]])))," ",Raw_Data[[#This Row],[Table_Vacated_Time]]-Raw_Data[[#This Row],[Seating_Time]])</f>
        <v>5.694444444088731E-2</v>
      </c>
      <c r="K104">
        <v>1441.51</v>
      </c>
      <c r="L104" s="1" t="s">
        <v>18</v>
      </c>
      <c r="M104" s="1" t="s">
        <v>38</v>
      </c>
      <c r="N104" s="1" t="s">
        <v>41</v>
      </c>
      <c r="O104" s="1" t="s">
        <v>278</v>
      </c>
      <c r="P104" s="1" t="s">
        <v>34</v>
      </c>
      <c r="Q104" s="1" t="s">
        <v>81</v>
      </c>
      <c r="R104">
        <v>11</v>
      </c>
    </row>
    <row r="105" spans="1:18" x14ac:dyDescent="0.25">
      <c r="A105" s="1" t="s">
        <v>146</v>
      </c>
      <c r="B105" s="4">
        <v>46256</v>
      </c>
      <c r="C105" s="2">
        <v>0.87847222222222221</v>
      </c>
      <c r="D105">
        <v>5</v>
      </c>
      <c r="E105" s="3">
        <v>46256.878472222219</v>
      </c>
      <c r="F105" s="3">
        <v>46256.886111111111</v>
      </c>
      <c r="G105" s="3">
        <v>46256.894444444442</v>
      </c>
      <c r="H105" s="3">
        <v>46256.928472222222</v>
      </c>
      <c r="I105" s="3">
        <v>46256.930555555555</v>
      </c>
      <c r="J105" s="6">
        <f>IF(OR(NOT(ISNUMBER(Raw_Data[[#This Row],[Table_Vacated_Time]])),NOT(ISNUMBER(Raw_Data[[#This Row],[Seating_Time]])))," ",Raw_Data[[#This Row],[Table_Vacated_Time]]-Raw_Data[[#This Row],[Seating_Time]])</f>
        <v>5.2083333335758653E-2</v>
      </c>
      <c r="K105">
        <v>1308.75</v>
      </c>
      <c r="L105" s="1" t="s">
        <v>18</v>
      </c>
      <c r="M105" s="1" t="s">
        <v>38</v>
      </c>
      <c r="N105" s="1" t="s">
        <v>20</v>
      </c>
      <c r="O105" s="1"/>
      <c r="P105" s="1" t="s">
        <v>34</v>
      </c>
      <c r="Q105" s="1" t="s">
        <v>42</v>
      </c>
      <c r="R105">
        <v>2</v>
      </c>
    </row>
    <row r="106" spans="1:18" x14ac:dyDescent="0.25">
      <c r="A106" s="1" t="s">
        <v>147</v>
      </c>
      <c r="B106" s="4">
        <v>46244</v>
      </c>
      <c r="C106" s="2">
        <v>0.5</v>
      </c>
      <c r="D106">
        <v>4</v>
      </c>
      <c r="E106" s="3">
        <v>46244.5</v>
      </c>
      <c r="F106" s="3">
        <v>46244.511805555558</v>
      </c>
      <c r="G106" s="3">
        <v>46244.533333333333</v>
      </c>
      <c r="H106" s="3">
        <v>46244.567361111112</v>
      </c>
      <c r="I106" s="3">
        <v>46244.577777777777</v>
      </c>
      <c r="J106" s="6">
        <f>IF(OR(NOT(ISNUMBER(Raw_Data[[#This Row],[Table_Vacated_Time]])),NOT(ISNUMBER(Raw_Data[[#This Row],[Seating_Time]])))," ",Raw_Data[[#This Row],[Table_Vacated_Time]]-Raw_Data[[#This Row],[Seating_Time]])</f>
        <v>7.7777777776645962E-2</v>
      </c>
      <c r="K106">
        <v>1541.29</v>
      </c>
      <c r="L106" s="1" t="s">
        <v>31</v>
      </c>
      <c r="M106" s="1" t="s">
        <v>19</v>
      </c>
      <c r="N106" s="1" t="s">
        <v>20</v>
      </c>
      <c r="O106" s="1"/>
      <c r="P106" s="1" t="s">
        <v>21</v>
      </c>
      <c r="Q106" s="1" t="s">
        <v>32</v>
      </c>
      <c r="R106">
        <v>6</v>
      </c>
    </row>
    <row r="107" spans="1:18" x14ac:dyDescent="0.25">
      <c r="A107" s="1" t="s">
        <v>148</v>
      </c>
      <c r="B107" s="4">
        <v>46248</v>
      </c>
      <c r="C107" s="2">
        <v>0.86111111111111116</v>
      </c>
      <c r="D107">
        <v>2</v>
      </c>
      <c r="E107" s="3">
        <v>46248.861111111109</v>
      </c>
      <c r="F107" s="3">
        <v>46248.873611111114</v>
      </c>
      <c r="G107" s="3">
        <v>46248.888194444444</v>
      </c>
      <c r="H107" s="3">
        <v>46248.916666666664</v>
      </c>
      <c r="I107" s="3">
        <v>46248.920138888891</v>
      </c>
      <c r="J107" s="6">
        <f>IF(OR(NOT(ISNUMBER(Raw_Data[[#This Row],[Table_Vacated_Time]])),NOT(ISNUMBER(Raw_Data[[#This Row],[Seating_Time]])))," ",Raw_Data[[#This Row],[Table_Vacated_Time]]-Raw_Data[[#This Row],[Seating_Time]])</f>
        <v>5.9027777781011537E-2</v>
      </c>
      <c r="K107">
        <v>1612.23</v>
      </c>
      <c r="L107" s="1" t="s">
        <v>18</v>
      </c>
      <c r="M107" s="1" t="s">
        <v>19</v>
      </c>
      <c r="N107" s="1" t="s">
        <v>33</v>
      </c>
      <c r="O107" s="1" t="s">
        <v>278</v>
      </c>
      <c r="P107" s="1" t="s">
        <v>34</v>
      </c>
      <c r="Q107" s="1" t="s">
        <v>32</v>
      </c>
      <c r="R107">
        <v>13</v>
      </c>
    </row>
    <row r="108" spans="1:18" x14ac:dyDescent="0.25">
      <c r="A108" s="1" t="s">
        <v>149</v>
      </c>
      <c r="B108" s="4">
        <v>46263</v>
      </c>
      <c r="C108" s="2">
        <v>0.85069444444444442</v>
      </c>
      <c r="D108">
        <v>2</v>
      </c>
      <c r="E108" s="3">
        <v>46263.850694444445</v>
      </c>
      <c r="F108" s="3">
        <v>46263.854861111111</v>
      </c>
      <c r="G108" s="3">
        <v>46263.865972222222</v>
      </c>
      <c r="H108" s="3">
        <v>46263.890972222223</v>
      </c>
      <c r="I108" s="3">
        <v>46263.894444444442</v>
      </c>
      <c r="J108" s="6">
        <f>IF(OR(NOT(ISNUMBER(Raw_Data[[#This Row],[Table_Vacated_Time]])),NOT(ISNUMBER(Raw_Data[[#This Row],[Seating_Time]])))," ",Raw_Data[[#This Row],[Table_Vacated_Time]]-Raw_Data[[#This Row],[Seating_Time]])</f>
        <v>4.3749999997089617E-2</v>
      </c>
      <c r="K108">
        <v>2427.4</v>
      </c>
      <c r="L108" s="1" t="s">
        <v>18</v>
      </c>
      <c r="M108" s="1" t="s">
        <v>19</v>
      </c>
      <c r="N108" s="1" t="s">
        <v>41</v>
      </c>
      <c r="O108" s="1"/>
      <c r="P108" s="1" t="s">
        <v>34</v>
      </c>
      <c r="Q108" s="1" t="s">
        <v>24</v>
      </c>
      <c r="R108">
        <v>8</v>
      </c>
    </row>
    <row r="109" spans="1:18" x14ac:dyDescent="0.25">
      <c r="A109" s="1" t="s">
        <v>150</v>
      </c>
      <c r="B109" s="4">
        <v>46249</v>
      </c>
      <c r="C109" s="2">
        <v>0.86458333333333337</v>
      </c>
      <c r="D109">
        <v>6</v>
      </c>
      <c r="E109" s="3">
        <v>46249.864583333336</v>
      </c>
      <c r="F109" s="3">
        <v>46249.875</v>
      </c>
      <c r="G109" s="3">
        <v>46249.897222222222</v>
      </c>
      <c r="H109" s="3">
        <v>46249.938194444447</v>
      </c>
      <c r="I109" s="3">
        <v>46249.943055555559</v>
      </c>
      <c r="J109" s="6">
        <f>IF(OR(NOT(ISNUMBER(Raw_Data[[#This Row],[Table_Vacated_Time]])),NOT(ISNUMBER(Raw_Data[[#This Row],[Seating_Time]])))," ",Raw_Data[[#This Row],[Table_Vacated_Time]]-Raw_Data[[#This Row],[Seating_Time]])</f>
        <v>7.8472222223354038E-2</v>
      </c>
      <c r="K109">
        <v>1966.02</v>
      </c>
      <c r="L109" s="1" t="s">
        <v>31</v>
      </c>
      <c r="M109" s="1" t="s">
        <v>22</v>
      </c>
      <c r="N109" s="1" t="s">
        <v>41</v>
      </c>
      <c r="O109" s="1" t="s">
        <v>281</v>
      </c>
      <c r="P109" s="1" t="s">
        <v>21</v>
      </c>
      <c r="Q109" s="1" t="s">
        <v>24</v>
      </c>
      <c r="R109">
        <v>19</v>
      </c>
    </row>
    <row r="110" spans="1:18" x14ac:dyDescent="0.25">
      <c r="A110" s="1" t="s">
        <v>151</v>
      </c>
      <c r="B110" s="4">
        <v>46249</v>
      </c>
      <c r="C110" s="2">
        <v>0.84722222222222221</v>
      </c>
      <c r="D110">
        <v>8</v>
      </c>
      <c r="E110" s="3">
        <v>46249.847222222219</v>
      </c>
      <c r="F110" s="3">
        <v>46249.854166666664</v>
      </c>
      <c r="G110" s="3">
        <v>46249.873611111114</v>
      </c>
      <c r="H110" s="3">
        <v>46249.890277777777</v>
      </c>
      <c r="I110" s="3">
        <v>46249.894444444442</v>
      </c>
      <c r="J110" s="6">
        <f>IF(OR(NOT(ISNUMBER(Raw_Data[[#This Row],[Table_Vacated_Time]])),NOT(ISNUMBER(Raw_Data[[#This Row],[Seating_Time]])))," ",Raw_Data[[#This Row],[Table_Vacated_Time]]-Raw_Data[[#This Row],[Seating_Time]])</f>
        <v>4.7222222223354038E-2</v>
      </c>
      <c r="K110">
        <v>2251.65</v>
      </c>
      <c r="L110" s="1" t="s">
        <v>28</v>
      </c>
      <c r="M110" s="1" t="s">
        <v>44</v>
      </c>
      <c r="N110" s="1" t="s">
        <v>25</v>
      </c>
      <c r="O110" s="1"/>
      <c r="P110" s="1" t="s">
        <v>29</v>
      </c>
      <c r="Q110" s="1" t="s">
        <v>22</v>
      </c>
      <c r="R110">
        <v>2</v>
      </c>
    </row>
    <row r="111" spans="1:18" x14ac:dyDescent="0.25">
      <c r="A111" s="1" t="s">
        <v>152</v>
      </c>
      <c r="B111" s="4">
        <v>46255</v>
      </c>
      <c r="C111" s="2">
        <v>0.87847222222222221</v>
      </c>
      <c r="D111">
        <v>8</v>
      </c>
      <c r="E111" s="3">
        <v>46255.878472222219</v>
      </c>
      <c r="F111" s="3">
        <v>46255.887499999997</v>
      </c>
      <c r="G111" s="3">
        <v>46255.904166666667</v>
      </c>
      <c r="H111" s="3">
        <v>46255.938194444447</v>
      </c>
      <c r="I111" s="3">
        <v>46255.945833333331</v>
      </c>
      <c r="J111" s="6">
        <f>IF(OR(NOT(ISNUMBER(Raw_Data[[#This Row],[Table_Vacated_Time]])),NOT(ISNUMBER(Raw_Data[[#This Row],[Seating_Time]])))," ",Raw_Data[[#This Row],[Table_Vacated_Time]]-Raw_Data[[#This Row],[Seating_Time]])</f>
        <v>6.7361111112404615E-2</v>
      </c>
      <c r="L111" s="1" t="s">
        <v>31</v>
      </c>
      <c r="M111" s="1" t="s">
        <v>44</v>
      </c>
      <c r="N111" s="1" t="s">
        <v>20</v>
      </c>
      <c r="O111" s="1"/>
      <c r="P111" s="1" t="s">
        <v>34</v>
      </c>
      <c r="Q111" s="1" t="s">
        <v>66</v>
      </c>
      <c r="R111">
        <v>20</v>
      </c>
    </row>
    <row r="112" spans="1:18" x14ac:dyDescent="0.25">
      <c r="A112" s="1" t="s">
        <v>153</v>
      </c>
      <c r="B112" s="4">
        <v>46241</v>
      </c>
      <c r="C112" s="2">
        <v>0.60763888888888884</v>
      </c>
      <c r="D112">
        <v>7</v>
      </c>
      <c r="E112" s="3">
        <v>46241.607638888891</v>
      </c>
      <c r="F112" s="3">
        <v>46241.611111111109</v>
      </c>
      <c r="G112" s="3">
        <v>46241.629166666666</v>
      </c>
      <c r="H112" s="3">
        <v>46241.647222222222</v>
      </c>
      <c r="I112" s="3">
        <v>46241.656944444447</v>
      </c>
      <c r="J112" s="6">
        <f>IF(OR(NOT(ISNUMBER(Raw_Data[[#This Row],[Table_Vacated_Time]])),NOT(ISNUMBER(Raw_Data[[#This Row],[Seating_Time]])))," ",Raw_Data[[#This Row],[Table_Vacated_Time]]-Raw_Data[[#This Row],[Seating_Time]])</f>
        <v>4.9305555556202307E-2</v>
      </c>
      <c r="K112">
        <v>1090</v>
      </c>
      <c r="L112" s="1" t="s">
        <v>31</v>
      </c>
      <c r="M112" s="1" t="s">
        <v>19</v>
      </c>
      <c r="N112" s="1" t="s">
        <v>41</v>
      </c>
      <c r="O112" s="1" t="s">
        <v>277</v>
      </c>
      <c r="P112" s="1" t="s">
        <v>21</v>
      </c>
      <c r="Q112" s="1" t="s">
        <v>48</v>
      </c>
      <c r="R112">
        <v>5</v>
      </c>
    </row>
    <row r="113" spans="1:18" x14ac:dyDescent="0.25">
      <c r="A113" s="1" t="s">
        <v>154</v>
      </c>
      <c r="B113" s="4">
        <v>46249</v>
      </c>
      <c r="C113" s="2">
        <v>0.94444444444444442</v>
      </c>
      <c r="D113">
        <v>7</v>
      </c>
      <c r="E113" s="3">
        <v>46249.944444444445</v>
      </c>
      <c r="F113" s="3">
        <v>46249.949305555558</v>
      </c>
      <c r="G113" s="3">
        <v>46249.965277777781</v>
      </c>
      <c r="H113" s="3">
        <v>46249.995138888888</v>
      </c>
      <c r="I113" s="3">
        <v>46249.999305555553</v>
      </c>
      <c r="J113" s="6">
        <f>IF(OR(NOT(ISNUMBER(Raw_Data[[#This Row],[Table_Vacated_Time]])),NOT(ISNUMBER(Raw_Data[[#This Row],[Seating_Time]])))," ",Raw_Data[[#This Row],[Table_Vacated_Time]]-Raw_Data[[#This Row],[Seating_Time]])</f>
        <v>5.486111110803904E-2</v>
      </c>
      <c r="K113">
        <v>1975.42</v>
      </c>
      <c r="L113" s="1" t="s">
        <v>31</v>
      </c>
      <c r="M113" s="1" t="s">
        <v>44</v>
      </c>
      <c r="N113" s="1" t="s">
        <v>25</v>
      </c>
      <c r="O113" s="1" t="s">
        <v>277</v>
      </c>
      <c r="P113" s="1" t="s">
        <v>29</v>
      </c>
      <c r="Q113" s="1" t="s">
        <v>22</v>
      </c>
      <c r="R113">
        <v>20</v>
      </c>
    </row>
    <row r="114" spans="1:18" x14ac:dyDescent="0.25">
      <c r="A114" s="1" t="s">
        <v>155</v>
      </c>
      <c r="B114" s="4">
        <v>46252</v>
      </c>
      <c r="C114" s="2">
        <v>0.84722222222222221</v>
      </c>
      <c r="D114">
        <v>4</v>
      </c>
      <c r="E114" s="3">
        <v>46252.847222222219</v>
      </c>
      <c r="F114" s="3">
        <v>46252.859722222223</v>
      </c>
      <c r="G114" s="3">
        <v>46252.870833333334</v>
      </c>
      <c r="H114" s="3">
        <v>46252.899305555555</v>
      </c>
      <c r="I114" s="3">
        <v>46252.901388888888</v>
      </c>
      <c r="J114" s="6">
        <f>IF(OR(NOT(ISNUMBER(Raw_Data[[#This Row],[Table_Vacated_Time]])),NOT(ISNUMBER(Raw_Data[[#This Row],[Seating_Time]])))," ",Raw_Data[[#This Row],[Table_Vacated_Time]]-Raw_Data[[#This Row],[Seating_Time]])</f>
        <v>5.4166666668606922E-2</v>
      </c>
      <c r="K114">
        <v>1663.13</v>
      </c>
      <c r="L114" s="1" t="s">
        <v>18</v>
      </c>
      <c r="M114" s="1" t="s">
        <v>22</v>
      </c>
      <c r="N114" s="1" t="s">
        <v>25</v>
      </c>
      <c r="O114" s="1"/>
      <c r="P114" s="1" t="s">
        <v>34</v>
      </c>
      <c r="Q114" s="1" t="s">
        <v>66</v>
      </c>
      <c r="R114">
        <v>20</v>
      </c>
    </row>
    <row r="115" spans="1:18" x14ac:dyDescent="0.25">
      <c r="A115" s="1" t="s">
        <v>156</v>
      </c>
      <c r="B115" s="4">
        <v>46247</v>
      </c>
      <c r="C115" s="2">
        <v>0.53819444444444442</v>
      </c>
      <c r="D115">
        <v>2</v>
      </c>
      <c r="E115" s="3">
        <v>46247.538194444445</v>
      </c>
      <c r="F115" s="3">
        <v>46247.547222222223</v>
      </c>
      <c r="G115" s="3">
        <v>46247.563888888886</v>
      </c>
      <c r="H115" s="3">
        <v>46247.606249999997</v>
      </c>
      <c r="I115" s="3">
        <v>46247.615972222222</v>
      </c>
      <c r="J115" s="6">
        <f>IF(OR(NOT(ISNUMBER(Raw_Data[[#This Row],[Table_Vacated_Time]])),NOT(ISNUMBER(Raw_Data[[#This Row],[Seating_Time]])))," ",Raw_Data[[#This Row],[Table_Vacated_Time]]-Raw_Data[[#This Row],[Seating_Time]])</f>
        <v>7.7777777776645962E-2</v>
      </c>
      <c r="K115">
        <v>2744.78</v>
      </c>
      <c r="L115" s="1" t="s">
        <v>18</v>
      </c>
      <c r="M115" s="1" t="s">
        <v>19</v>
      </c>
      <c r="N115" s="1" t="s">
        <v>20</v>
      </c>
      <c r="O115" s="1" t="s">
        <v>278</v>
      </c>
      <c r="P115" s="1" t="s">
        <v>29</v>
      </c>
      <c r="Q115" s="1" t="s">
        <v>53</v>
      </c>
      <c r="R115">
        <v>10</v>
      </c>
    </row>
    <row r="116" spans="1:18" x14ac:dyDescent="0.25">
      <c r="A116" s="1" t="s">
        <v>157</v>
      </c>
      <c r="B116" s="4">
        <v>46246</v>
      </c>
      <c r="C116" s="2">
        <v>0.59375</v>
      </c>
      <c r="D116">
        <v>4</v>
      </c>
      <c r="E116" s="3">
        <v>46246.59375</v>
      </c>
      <c r="F116" s="3">
        <v>46246.599305555559</v>
      </c>
      <c r="G116" s="3">
        <v>46246.612500000003</v>
      </c>
      <c r="H116" s="3">
        <v>46246.631944444445</v>
      </c>
      <c r="I116" s="3">
        <v>46246.634722222225</v>
      </c>
      <c r="J116" s="6">
        <f>IF(OR(NOT(ISNUMBER(Raw_Data[[#This Row],[Table_Vacated_Time]])),NOT(ISNUMBER(Raw_Data[[#This Row],[Seating_Time]])))," ",Raw_Data[[#This Row],[Table_Vacated_Time]]-Raw_Data[[#This Row],[Seating_Time]])</f>
        <v>4.0972222224809229E-2</v>
      </c>
      <c r="K116">
        <v>1371.78</v>
      </c>
      <c r="L116" s="1" t="s">
        <v>28</v>
      </c>
      <c r="M116" s="1" t="s">
        <v>44</v>
      </c>
      <c r="N116" s="1" t="s">
        <v>25</v>
      </c>
      <c r="O116" s="1"/>
      <c r="P116" s="1" t="s">
        <v>34</v>
      </c>
      <c r="Q116" s="1" t="s">
        <v>44</v>
      </c>
      <c r="R116">
        <v>16</v>
      </c>
    </row>
    <row r="117" spans="1:18" x14ac:dyDescent="0.25">
      <c r="A117" s="1" t="s">
        <v>158</v>
      </c>
      <c r="B117" s="4">
        <v>46254</v>
      </c>
      <c r="C117" s="2">
        <v>0.75694444444444442</v>
      </c>
      <c r="D117">
        <v>2</v>
      </c>
      <c r="E117" s="3">
        <v>46254.756944444445</v>
      </c>
      <c r="F117" s="3">
        <v>46254.768750000003</v>
      </c>
      <c r="G117" s="3">
        <v>46254.780555555553</v>
      </c>
      <c r="H117" s="3">
        <v>46254.813888888886</v>
      </c>
      <c r="I117" s="3">
        <v>46254.81527777778</v>
      </c>
      <c r="J117" s="6">
        <f>IF(OR(NOT(ISNUMBER(Raw_Data[[#This Row],[Table_Vacated_Time]])),NOT(ISNUMBER(Raw_Data[[#This Row],[Seating_Time]])))," ",Raw_Data[[#This Row],[Table_Vacated_Time]]-Raw_Data[[#This Row],[Seating_Time]])</f>
        <v>5.8333333334303461E-2</v>
      </c>
      <c r="K117">
        <v>1555.85</v>
      </c>
      <c r="L117" s="1" t="s">
        <v>31</v>
      </c>
      <c r="M117" s="1" t="s">
        <v>32</v>
      </c>
      <c r="N117" s="1" t="s">
        <v>20</v>
      </c>
      <c r="O117" s="1" t="s">
        <v>278</v>
      </c>
      <c r="P117" s="1" t="s">
        <v>29</v>
      </c>
      <c r="Q117" s="1" t="s">
        <v>26</v>
      </c>
      <c r="R117">
        <v>20</v>
      </c>
    </row>
    <row r="118" spans="1:18" x14ac:dyDescent="0.25">
      <c r="A118" s="1" t="s">
        <v>159</v>
      </c>
      <c r="B118" s="4">
        <v>46258</v>
      </c>
      <c r="C118" s="2">
        <v>0.88541666666666663</v>
      </c>
      <c r="D118">
        <v>7</v>
      </c>
      <c r="E118" s="3">
        <v>46258.885416666664</v>
      </c>
      <c r="F118" s="3">
        <v>46258.89166666667</v>
      </c>
      <c r="G118" s="3">
        <v>46258.917361111111</v>
      </c>
      <c r="H118" s="3">
        <v>46258.95208333333</v>
      </c>
      <c r="I118" s="3">
        <v>46258.962500000001</v>
      </c>
      <c r="J118" s="6">
        <f>IF(OR(NOT(ISNUMBER(Raw_Data[[#This Row],[Table_Vacated_Time]])),NOT(ISNUMBER(Raw_Data[[#This Row],[Seating_Time]])))," ",Raw_Data[[#This Row],[Table_Vacated_Time]]-Raw_Data[[#This Row],[Seating_Time]])</f>
        <v>7.7083333337213844E-2</v>
      </c>
      <c r="K118">
        <v>1970.91</v>
      </c>
      <c r="L118" s="1" t="s">
        <v>31</v>
      </c>
      <c r="M118" s="1" t="s">
        <v>24</v>
      </c>
      <c r="N118" s="1" t="s">
        <v>20</v>
      </c>
      <c r="O118" s="1"/>
      <c r="P118" s="1" t="s">
        <v>29</v>
      </c>
      <c r="Q118" s="1" t="s">
        <v>26</v>
      </c>
      <c r="R118">
        <v>8</v>
      </c>
    </row>
    <row r="119" spans="1:18" x14ac:dyDescent="0.25">
      <c r="A119" s="1" t="s">
        <v>160</v>
      </c>
      <c r="B119" s="4">
        <v>46247</v>
      </c>
      <c r="C119" s="2">
        <v>0.8125</v>
      </c>
      <c r="D119">
        <v>2</v>
      </c>
      <c r="E119" s="3">
        <v>46247.8125</v>
      </c>
      <c r="F119" s="3">
        <v>46247.824305555558</v>
      </c>
      <c r="G119" s="3">
        <v>46247.845833333333</v>
      </c>
      <c r="H119" s="3">
        <v>46247.865277777775</v>
      </c>
      <c r="I119" s="3">
        <v>46247.875694444447</v>
      </c>
      <c r="J119" s="6">
        <f>IF(OR(NOT(ISNUMBER(Raw_Data[[#This Row],[Table_Vacated_Time]])),NOT(ISNUMBER(Raw_Data[[#This Row],[Seating_Time]])))," ",Raw_Data[[#This Row],[Table_Vacated_Time]]-Raw_Data[[#This Row],[Seating_Time]])</f>
        <v>6.3194444446708076E-2</v>
      </c>
      <c r="K119">
        <v>747.23</v>
      </c>
      <c r="L119" s="1" t="s">
        <v>31</v>
      </c>
      <c r="M119" s="1" t="s">
        <v>24</v>
      </c>
      <c r="N119" s="1" t="s">
        <v>25</v>
      </c>
      <c r="O119" s="1" t="s">
        <v>278</v>
      </c>
      <c r="P119" s="1" t="s">
        <v>21</v>
      </c>
      <c r="Q119" s="1" t="s">
        <v>48</v>
      </c>
      <c r="R119">
        <v>7</v>
      </c>
    </row>
    <row r="120" spans="1:18" x14ac:dyDescent="0.25">
      <c r="A120" s="1" t="s">
        <v>89</v>
      </c>
      <c r="B120" s="4">
        <v>46262</v>
      </c>
      <c r="C120" s="2">
        <v>0.79513888888888884</v>
      </c>
      <c r="D120">
        <v>4</v>
      </c>
      <c r="E120" s="3">
        <v>46262.795138888891</v>
      </c>
      <c r="F120" s="3">
        <v>46262.806944444441</v>
      </c>
      <c r="G120" s="3">
        <v>46262.818749999999</v>
      </c>
      <c r="H120" s="3">
        <v>46262.844444444447</v>
      </c>
      <c r="I120" s="3">
        <v>46262.850694444445</v>
      </c>
      <c r="J120" s="6">
        <f>IF(OR(NOT(ISNUMBER(Raw_Data[[#This Row],[Table_Vacated_Time]])),NOT(ISNUMBER(Raw_Data[[#This Row],[Seating_Time]])))," ",Raw_Data[[#This Row],[Table_Vacated_Time]]-Raw_Data[[#This Row],[Seating_Time]])</f>
        <v>5.5555555554747116E-2</v>
      </c>
      <c r="K120">
        <v>2258.5500000000002</v>
      </c>
      <c r="L120" s="1" t="s">
        <v>18</v>
      </c>
      <c r="M120" s="1" t="s">
        <v>38</v>
      </c>
      <c r="N120" s="1" t="s">
        <v>33</v>
      </c>
      <c r="O120" s="1" t="s">
        <v>279</v>
      </c>
      <c r="P120" s="1" t="s">
        <v>29</v>
      </c>
      <c r="Q120" s="1" t="s">
        <v>19</v>
      </c>
      <c r="R120">
        <v>3</v>
      </c>
    </row>
    <row r="121" spans="1:18" x14ac:dyDescent="0.25">
      <c r="A121" s="1" t="s">
        <v>161</v>
      </c>
      <c r="B121" s="4">
        <v>46264</v>
      </c>
      <c r="C121" s="2">
        <v>0.45833333333333331</v>
      </c>
      <c r="D121">
        <v>5</v>
      </c>
      <c r="E121" s="3">
        <v>46264.458333333336</v>
      </c>
      <c r="F121" s="3">
        <v>46264.465277777781</v>
      </c>
      <c r="G121" s="3">
        <v>46264.478472222225</v>
      </c>
      <c r="H121" s="3">
        <v>46264.509027777778</v>
      </c>
      <c r="I121" s="3">
        <v>46264.511111111111</v>
      </c>
      <c r="J121" s="6">
        <f>IF(OR(NOT(ISNUMBER(Raw_Data[[#This Row],[Table_Vacated_Time]])),NOT(ISNUMBER(Raw_Data[[#This Row],[Seating_Time]])))," ",Raw_Data[[#This Row],[Table_Vacated_Time]]-Raw_Data[[#This Row],[Seating_Time]])</f>
        <v>5.2777777775190771E-2</v>
      </c>
      <c r="K121">
        <v>2163.56</v>
      </c>
      <c r="L121" s="1" t="s">
        <v>28</v>
      </c>
      <c r="M121" s="1" t="s">
        <v>22</v>
      </c>
      <c r="N121" s="1" t="s">
        <v>33</v>
      </c>
      <c r="O121" s="1"/>
      <c r="P121" s="1" t="s">
        <v>34</v>
      </c>
      <c r="Q121" s="1" t="s">
        <v>66</v>
      </c>
      <c r="R121">
        <v>17</v>
      </c>
    </row>
    <row r="122" spans="1:18" x14ac:dyDescent="0.25">
      <c r="A122" s="1" t="s">
        <v>162</v>
      </c>
      <c r="B122" s="4">
        <v>46245</v>
      </c>
      <c r="C122" s="2">
        <v>0.88194444444444442</v>
      </c>
      <c r="D122">
        <v>1</v>
      </c>
      <c r="E122" s="3">
        <v>46245.881944444445</v>
      </c>
      <c r="F122" s="3">
        <v>46245.894444444442</v>
      </c>
      <c r="G122" s="3">
        <v>46245.913194444445</v>
      </c>
      <c r="H122" s="3">
        <v>46245.957638888889</v>
      </c>
      <c r="I122" s="3">
        <v>46245.968055555553</v>
      </c>
      <c r="J122" s="6">
        <f>IF(OR(NOT(ISNUMBER(Raw_Data[[#This Row],[Table_Vacated_Time]])),NOT(ISNUMBER(Raw_Data[[#This Row],[Seating_Time]])))," ",Raw_Data[[#This Row],[Table_Vacated_Time]]-Raw_Data[[#This Row],[Seating_Time]])</f>
        <v>8.611111110803904E-2</v>
      </c>
      <c r="K122">
        <v>1705.07</v>
      </c>
      <c r="L122" s="1" t="s">
        <v>31</v>
      </c>
      <c r="M122" s="1" t="s">
        <v>24</v>
      </c>
      <c r="N122" s="1" t="s">
        <v>20</v>
      </c>
      <c r="O122" s="1" t="s">
        <v>278</v>
      </c>
      <c r="P122" s="1" t="s">
        <v>21</v>
      </c>
      <c r="Q122" s="1" t="s">
        <v>22</v>
      </c>
      <c r="R122">
        <v>10</v>
      </c>
    </row>
    <row r="123" spans="1:18" x14ac:dyDescent="0.25">
      <c r="A123" s="1" t="s">
        <v>163</v>
      </c>
      <c r="B123" s="4">
        <v>46235</v>
      </c>
      <c r="C123" s="2">
        <v>0.54861111111111116</v>
      </c>
      <c r="D123">
        <v>7</v>
      </c>
      <c r="E123" s="3">
        <v>46235.548611111109</v>
      </c>
      <c r="F123" s="3">
        <v>46235.557638888888</v>
      </c>
      <c r="G123" s="3">
        <v>46235.574999999997</v>
      </c>
      <c r="H123" s="3">
        <v>46235.59375</v>
      </c>
      <c r="I123" s="3">
        <v>46235.603472222225</v>
      </c>
      <c r="J123" s="6">
        <f>IF(OR(NOT(ISNUMBER(Raw_Data[[#This Row],[Table_Vacated_Time]])),NOT(ISNUMBER(Raw_Data[[#This Row],[Seating_Time]])))," ",Raw_Data[[#This Row],[Table_Vacated_Time]]-Raw_Data[[#This Row],[Seating_Time]])</f>
        <v>5.4861111115314998E-2</v>
      </c>
      <c r="K123">
        <v>1489.84</v>
      </c>
      <c r="L123" s="1" t="s">
        <v>31</v>
      </c>
      <c r="M123" s="1" t="s">
        <v>19</v>
      </c>
      <c r="N123" s="1" t="s">
        <v>33</v>
      </c>
      <c r="O123" s="1" t="s">
        <v>279</v>
      </c>
      <c r="P123" s="1" t="s">
        <v>29</v>
      </c>
      <c r="Q123" s="1" t="s">
        <v>66</v>
      </c>
      <c r="R123">
        <v>20</v>
      </c>
    </row>
    <row r="124" spans="1:18" x14ac:dyDescent="0.25">
      <c r="A124" s="1" t="s">
        <v>164</v>
      </c>
      <c r="B124" s="4">
        <v>46260</v>
      </c>
      <c r="C124" s="2">
        <v>0.83680555555555558</v>
      </c>
      <c r="D124">
        <v>2</v>
      </c>
      <c r="E124" s="3">
        <v>46260.836805555555</v>
      </c>
      <c r="F124" s="3">
        <v>46260.84652777778</v>
      </c>
      <c r="G124" s="3">
        <v>46260.866666666669</v>
      </c>
      <c r="H124" s="3">
        <v>46260.881249999999</v>
      </c>
      <c r="I124" s="3">
        <v>46260.88958333333</v>
      </c>
      <c r="J124" s="6">
        <f>IF(OR(NOT(ISNUMBER(Raw_Data[[#This Row],[Table_Vacated_Time]])),NOT(ISNUMBER(Raw_Data[[#This Row],[Seating_Time]])))," ",Raw_Data[[#This Row],[Table_Vacated_Time]]-Raw_Data[[#This Row],[Seating_Time]])</f>
        <v>5.2777777775190771E-2</v>
      </c>
      <c r="K124">
        <v>2161.54</v>
      </c>
      <c r="L124" s="1" t="s">
        <v>18</v>
      </c>
      <c r="M124" s="1" t="s">
        <v>47</v>
      </c>
      <c r="N124" s="1" t="s">
        <v>25</v>
      </c>
      <c r="O124" s="1" t="s">
        <v>281</v>
      </c>
      <c r="P124" s="1" t="s">
        <v>21</v>
      </c>
      <c r="Q124" s="1" t="s">
        <v>92</v>
      </c>
      <c r="R124">
        <v>16</v>
      </c>
    </row>
    <row r="125" spans="1:18" x14ac:dyDescent="0.25">
      <c r="A125" s="1" t="s">
        <v>165</v>
      </c>
      <c r="B125" s="4">
        <v>46246</v>
      </c>
      <c r="C125" s="2">
        <v>0.5625</v>
      </c>
      <c r="D125">
        <v>2</v>
      </c>
      <c r="E125" s="3">
        <v>46246.5625</v>
      </c>
      <c r="F125" s="3">
        <v>46246.571527777778</v>
      </c>
      <c r="G125" s="3">
        <v>46246.587500000001</v>
      </c>
      <c r="H125" s="3">
        <v>46246.604166666664</v>
      </c>
      <c r="I125" s="3">
        <v>46246.611111111109</v>
      </c>
      <c r="J125" s="6">
        <f>IF(OR(NOT(ISNUMBER(Raw_Data[[#This Row],[Table_Vacated_Time]])),NOT(ISNUMBER(Raw_Data[[#This Row],[Seating_Time]])))," ",Raw_Data[[#This Row],[Table_Vacated_Time]]-Raw_Data[[#This Row],[Seating_Time]])</f>
        <v>4.8611111109494232E-2</v>
      </c>
      <c r="K125">
        <v>618.98</v>
      </c>
      <c r="L125" s="1" t="s">
        <v>18</v>
      </c>
      <c r="M125" s="1" t="s">
        <v>44</v>
      </c>
      <c r="N125" s="1" t="s">
        <v>20</v>
      </c>
      <c r="O125" s="1"/>
      <c r="P125" s="1" t="s">
        <v>29</v>
      </c>
      <c r="Q125" s="1" t="s">
        <v>53</v>
      </c>
      <c r="R125">
        <v>3</v>
      </c>
    </row>
    <row r="126" spans="1:18" x14ac:dyDescent="0.25">
      <c r="A126" s="1" t="s">
        <v>166</v>
      </c>
      <c r="B126" s="4">
        <v>46255</v>
      </c>
      <c r="C126" s="2">
        <v>0.76736111111111116</v>
      </c>
      <c r="D126">
        <v>4</v>
      </c>
      <c r="E126" s="3">
        <v>46255.767361111109</v>
      </c>
      <c r="F126" s="3">
        <v>46255.774305555555</v>
      </c>
      <c r="G126" s="3">
        <v>46255.8</v>
      </c>
      <c r="H126" s="3">
        <v>46255.816666666666</v>
      </c>
      <c r="I126" s="3">
        <v>46255.821527777778</v>
      </c>
      <c r="J126" s="6">
        <f>IF(OR(NOT(ISNUMBER(Raw_Data[[#This Row],[Table_Vacated_Time]])),NOT(ISNUMBER(Raw_Data[[#This Row],[Seating_Time]])))," ",Raw_Data[[#This Row],[Table_Vacated_Time]]-Raw_Data[[#This Row],[Seating_Time]])</f>
        <v>5.4166666668606922E-2</v>
      </c>
      <c r="K126">
        <v>1952.77</v>
      </c>
      <c r="L126" s="1" t="s">
        <v>31</v>
      </c>
      <c r="M126" s="1" t="s">
        <v>19</v>
      </c>
      <c r="N126" s="1" t="s">
        <v>25</v>
      </c>
      <c r="O126" s="1" t="s">
        <v>279</v>
      </c>
      <c r="P126" s="1" t="s">
        <v>21</v>
      </c>
      <c r="Q126" s="1" t="s">
        <v>19</v>
      </c>
      <c r="R126">
        <v>1</v>
      </c>
    </row>
    <row r="127" spans="1:18" x14ac:dyDescent="0.25">
      <c r="A127" s="1" t="s">
        <v>167</v>
      </c>
      <c r="B127" s="4">
        <v>46252</v>
      </c>
      <c r="C127" s="2">
        <v>0.61805555555555558</v>
      </c>
      <c r="D127">
        <v>2</v>
      </c>
      <c r="E127" s="3">
        <v>46252.618055555555</v>
      </c>
      <c r="F127" s="3">
        <v>46252.629166666666</v>
      </c>
      <c r="G127" s="3">
        <v>46252.647916666669</v>
      </c>
      <c r="H127" s="3">
        <v>46252.689583333333</v>
      </c>
      <c r="I127" s="3">
        <v>46252.692361111112</v>
      </c>
      <c r="J127" s="6">
        <f>IF(OR(NOT(ISNUMBER(Raw_Data[[#This Row],[Table_Vacated_Time]])),NOT(ISNUMBER(Raw_Data[[#This Row],[Seating_Time]])))," ",Raw_Data[[#This Row],[Table_Vacated_Time]]-Raw_Data[[#This Row],[Seating_Time]])</f>
        <v>7.4305555557657499E-2</v>
      </c>
      <c r="K127">
        <v>2594.75</v>
      </c>
      <c r="L127" s="1" t="s">
        <v>28</v>
      </c>
      <c r="M127" s="1" t="s">
        <v>24</v>
      </c>
      <c r="N127" s="1" t="s">
        <v>33</v>
      </c>
      <c r="O127" s="1" t="s">
        <v>280</v>
      </c>
      <c r="P127" s="1" t="s">
        <v>21</v>
      </c>
      <c r="Q127" s="1" t="s">
        <v>53</v>
      </c>
      <c r="R127">
        <v>15</v>
      </c>
    </row>
    <row r="128" spans="1:18" x14ac:dyDescent="0.25">
      <c r="A128" s="1" t="s">
        <v>168</v>
      </c>
      <c r="B128" s="4">
        <v>46260</v>
      </c>
      <c r="C128" s="2">
        <v>0.54166666666666663</v>
      </c>
      <c r="D128">
        <v>4</v>
      </c>
      <c r="E128" s="3">
        <v>46260.541666666664</v>
      </c>
      <c r="F128" s="3">
        <v>46260.550694444442</v>
      </c>
      <c r="G128" s="3">
        <v>46260.567361111112</v>
      </c>
      <c r="H128" s="3">
        <v>46260.604861111111</v>
      </c>
      <c r="I128" s="3">
        <v>46260.611111111109</v>
      </c>
      <c r="J128" s="6">
        <f>IF(OR(NOT(ISNUMBER(Raw_Data[[#This Row],[Table_Vacated_Time]])),NOT(ISNUMBER(Raw_Data[[#This Row],[Seating_Time]])))," ",Raw_Data[[#This Row],[Table_Vacated_Time]]-Raw_Data[[#This Row],[Seating_Time]])</f>
        <v>6.9444444445252884E-2</v>
      </c>
      <c r="K128">
        <v>1085.21</v>
      </c>
      <c r="L128" s="1" t="s">
        <v>31</v>
      </c>
      <c r="M128" s="1" t="s">
        <v>32</v>
      </c>
      <c r="N128" s="1" t="s">
        <v>25</v>
      </c>
      <c r="O128" s="1" t="s">
        <v>280</v>
      </c>
      <c r="P128" s="1" t="s">
        <v>21</v>
      </c>
      <c r="Q128" s="1" t="s">
        <v>81</v>
      </c>
      <c r="R128">
        <v>10</v>
      </c>
    </row>
    <row r="129" spans="1:18" x14ac:dyDescent="0.25">
      <c r="A129" s="1" t="s">
        <v>169</v>
      </c>
      <c r="B129" s="4">
        <v>46255</v>
      </c>
      <c r="C129" s="2">
        <v>0.58680555555555558</v>
      </c>
      <c r="D129">
        <v>4</v>
      </c>
      <c r="E129" s="3">
        <v>46255.586805555555</v>
      </c>
      <c r="F129" s="3">
        <v>46255.594444444447</v>
      </c>
      <c r="G129" s="3">
        <v>46255.618750000001</v>
      </c>
      <c r="H129" s="3">
        <v>46255.652083333334</v>
      </c>
      <c r="I129" s="3">
        <v>46255.657638888886</v>
      </c>
      <c r="J129" s="6">
        <f>IF(OR(NOT(ISNUMBER(Raw_Data[[#This Row],[Table_Vacated_Time]])),NOT(ISNUMBER(Raw_Data[[#This Row],[Seating_Time]])))," ",Raw_Data[[#This Row],[Table_Vacated_Time]]-Raw_Data[[#This Row],[Seating_Time]])</f>
        <v>7.0833333331393078E-2</v>
      </c>
      <c r="K129">
        <v>1318.54</v>
      </c>
      <c r="L129" s="1" t="s">
        <v>18</v>
      </c>
      <c r="M129" s="1" t="s">
        <v>24</v>
      </c>
      <c r="N129" s="1" t="s">
        <v>20</v>
      </c>
      <c r="O129" s="1" t="s">
        <v>280</v>
      </c>
      <c r="P129" s="1" t="s">
        <v>34</v>
      </c>
      <c r="Q129" s="1" t="s">
        <v>36</v>
      </c>
      <c r="R129">
        <v>14</v>
      </c>
    </row>
    <row r="130" spans="1:18" x14ac:dyDescent="0.25">
      <c r="A130" s="1" t="s">
        <v>170</v>
      </c>
      <c r="B130" s="4">
        <v>46260</v>
      </c>
      <c r="C130" s="2">
        <v>0.52083333333333337</v>
      </c>
      <c r="D130">
        <v>2</v>
      </c>
      <c r="E130" s="3">
        <v>46260.520833333336</v>
      </c>
      <c r="F130" s="3">
        <v>46260.530555555553</v>
      </c>
      <c r="G130" s="3">
        <v>46260.556944444441</v>
      </c>
      <c r="H130" s="3">
        <v>46260.578472222223</v>
      </c>
      <c r="I130" s="3">
        <v>46260.585416666669</v>
      </c>
      <c r="J130" s="6">
        <f>IF(OR(NOT(ISNUMBER(Raw_Data[[#This Row],[Table_Vacated_Time]])),NOT(ISNUMBER(Raw_Data[[#This Row],[Seating_Time]])))," ",Raw_Data[[#This Row],[Table_Vacated_Time]]-Raw_Data[[#This Row],[Seating_Time]])</f>
        <v>6.4583333332848269E-2</v>
      </c>
      <c r="K130">
        <v>1444.81</v>
      </c>
      <c r="L130" s="1" t="s">
        <v>28</v>
      </c>
      <c r="M130" s="1" t="s">
        <v>19</v>
      </c>
      <c r="N130" s="1" t="s">
        <v>25</v>
      </c>
      <c r="O130" s="1"/>
      <c r="P130" s="1" t="s">
        <v>29</v>
      </c>
      <c r="Q130" s="1" t="s">
        <v>36</v>
      </c>
      <c r="R130">
        <v>14</v>
      </c>
    </row>
    <row r="131" spans="1:18" x14ac:dyDescent="0.25">
      <c r="A131" s="1" t="s">
        <v>171</v>
      </c>
      <c r="B131" s="4">
        <v>46249</v>
      </c>
      <c r="C131" s="2">
        <v>0.85416666666666663</v>
      </c>
      <c r="D131">
        <v>2</v>
      </c>
      <c r="E131" s="3">
        <v>46249.854166666664</v>
      </c>
      <c r="F131" s="3">
        <v>46249.861111111109</v>
      </c>
      <c r="G131" s="3">
        <v>46249.879166666666</v>
      </c>
      <c r="H131" s="3">
        <v>46249.894444444442</v>
      </c>
      <c r="I131" s="3">
        <v>46249.90347222222</v>
      </c>
      <c r="J131" s="6">
        <f>IF(OR(NOT(ISNUMBER(Raw_Data[[#This Row],[Table_Vacated_Time]])),NOT(ISNUMBER(Raw_Data[[#This Row],[Seating_Time]])))," ",Raw_Data[[#This Row],[Table_Vacated_Time]]-Raw_Data[[#This Row],[Seating_Time]])</f>
        <v>4.9305555556202307E-2</v>
      </c>
      <c r="K131">
        <v>1113.0899999999999</v>
      </c>
      <c r="L131" s="1" t="s">
        <v>31</v>
      </c>
      <c r="M131" s="1" t="s">
        <v>38</v>
      </c>
      <c r="N131" s="1" t="s">
        <v>25</v>
      </c>
      <c r="O131" s="1"/>
      <c r="P131" s="1" t="s">
        <v>21</v>
      </c>
      <c r="Q131" s="1" t="s">
        <v>22</v>
      </c>
      <c r="R131">
        <v>15</v>
      </c>
    </row>
    <row r="132" spans="1:18" x14ac:dyDescent="0.25">
      <c r="A132" s="1" t="s">
        <v>172</v>
      </c>
      <c r="B132" s="4">
        <v>46256</v>
      </c>
      <c r="C132" s="2">
        <v>0.85069444444444442</v>
      </c>
      <c r="D132">
        <v>7</v>
      </c>
      <c r="E132" s="3">
        <v>46256.850694444445</v>
      </c>
      <c r="F132" s="3">
        <v>46256.854166666664</v>
      </c>
      <c r="G132" s="3">
        <v>46256.865277777775</v>
      </c>
      <c r="H132" s="3">
        <v>46256.905555555553</v>
      </c>
      <c r="I132" s="3">
        <v>46256.913888888892</v>
      </c>
      <c r="J132" s="6">
        <f>IF(OR(NOT(ISNUMBER(Raw_Data[[#This Row],[Table_Vacated_Time]])),NOT(ISNUMBER(Raw_Data[[#This Row],[Seating_Time]])))," ",Raw_Data[[#This Row],[Table_Vacated_Time]]-Raw_Data[[#This Row],[Seating_Time]])</f>
        <v>6.3194444446708076E-2</v>
      </c>
      <c r="K132">
        <v>1137.1400000000001</v>
      </c>
      <c r="L132" s="1" t="s">
        <v>28</v>
      </c>
      <c r="M132" s="1" t="s">
        <v>47</v>
      </c>
      <c r="N132" s="1" t="s">
        <v>33</v>
      </c>
      <c r="O132" s="1" t="s">
        <v>279</v>
      </c>
      <c r="P132" s="1" t="s">
        <v>34</v>
      </c>
      <c r="Q132" s="1" t="s">
        <v>19</v>
      </c>
      <c r="R132">
        <v>6</v>
      </c>
    </row>
    <row r="133" spans="1:18" x14ac:dyDescent="0.25">
      <c r="A133" s="1" t="s">
        <v>173</v>
      </c>
      <c r="B133" s="4">
        <v>46246</v>
      </c>
      <c r="C133" s="2">
        <v>0.78125</v>
      </c>
      <c r="D133">
        <v>1</v>
      </c>
      <c r="E133" s="3">
        <v>46246.78125</v>
      </c>
      <c r="F133" s="3">
        <v>46246.786111111112</v>
      </c>
      <c r="G133" s="3">
        <v>46246.809027777781</v>
      </c>
      <c r="H133" s="3">
        <v>46246.842361111114</v>
      </c>
      <c r="I133" s="3">
        <v>46246.847222222219</v>
      </c>
      <c r="J133" s="6">
        <f>IF(OR(NOT(ISNUMBER(Raw_Data[[#This Row],[Table_Vacated_Time]])),NOT(ISNUMBER(Raw_Data[[#This Row],[Seating_Time]])))," ",Raw_Data[[#This Row],[Table_Vacated_Time]]-Raw_Data[[#This Row],[Seating_Time]])</f>
        <v>6.5972222218988463E-2</v>
      </c>
      <c r="K133">
        <v>1307.71</v>
      </c>
      <c r="L133" s="1" t="s">
        <v>28</v>
      </c>
      <c r="M133" s="1" t="s">
        <v>47</v>
      </c>
      <c r="N133" s="1" t="s">
        <v>25</v>
      </c>
      <c r="O133" s="1" t="s">
        <v>281</v>
      </c>
      <c r="P133" s="1" t="s">
        <v>29</v>
      </c>
      <c r="Q133" s="1" t="s">
        <v>66</v>
      </c>
      <c r="R133">
        <v>20</v>
      </c>
    </row>
    <row r="134" spans="1:18" x14ac:dyDescent="0.25">
      <c r="A134" s="1" t="s">
        <v>174</v>
      </c>
      <c r="B134" s="4">
        <v>46243</v>
      </c>
      <c r="C134" s="2">
        <v>0.54513888888888884</v>
      </c>
      <c r="D134">
        <v>1</v>
      </c>
      <c r="E134" s="3">
        <v>46243.545138888891</v>
      </c>
      <c r="F134" s="3">
        <v>46243.553472222222</v>
      </c>
      <c r="G134" s="3">
        <v>46243.572916666664</v>
      </c>
      <c r="H134" s="3">
        <v>46243.603472222225</v>
      </c>
      <c r="I134" s="3">
        <v>46243.61041666667</v>
      </c>
      <c r="J134" s="6">
        <f>IF(OR(NOT(ISNUMBER(Raw_Data[[#This Row],[Table_Vacated_Time]])),NOT(ISNUMBER(Raw_Data[[#This Row],[Seating_Time]])))," ",Raw_Data[[#This Row],[Table_Vacated_Time]]-Raw_Data[[#This Row],[Seating_Time]])</f>
        <v>6.5277777779556345E-2</v>
      </c>
      <c r="K134">
        <v>685.73</v>
      </c>
      <c r="L134" s="1" t="s">
        <v>31</v>
      </c>
      <c r="M134" s="1" t="s">
        <v>24</v>
      </c>
      <c r="N134" s="1" t="s">
        <v>41</v>
      </c>
      <c r="O134" s="1" t="s">
        <v>278</v>
      </c>
      <c r="P134" s="1" t="s">
        <v>29</v>
      </c>
      <c r="Q134" s="1" t="s">
        <v>48</v>
      </c>
      <c r="R134">
        <v>6</v>
      </c>
    </row>
    <row r="135" spans="1:18" x14ac:dyDescent="0.25">
      <c r="A135" s="1" t="s">
        <v>175</v>
      </c>
      <c r="B135" s="4">
        <v>46264</v>
      </c>
      <c r="C135" s="2">
        <v>0.92708333333333337</v>
      </c>
      <c r="D135">
        <v>2</v>
      </c>
      <c r="E135" s="3">
        <v>46264.927083333336</v>
      </c>
      <c r="F135" s="3">
        <v>46264.939583333333</v>
      </c>
      <c r="G135" s="3">
        <v>46264.949305555558</v>
      </c>
      <c r="H135" s="3">
        <v>46264.982638888891</v>
      </c>
      <c r="I135" s="3">
        <v>46264.98541666667</v>
      </c>
      <c r="J135" s="6">
        <f>IF(OR(NOT(ISNUMBER(Raw_Data[[#This Row],[Table_Vacated_Time]])),NOT(ISNUMBER(Raw_Data[[#This Row],[Seating_Time]])))," ",Raw_Data[[#This Row],[Table_Vacated_Time]]-Raw_Data[[#This Row],[Seating_Time]])</f>
        <v>5.8333333334303461E-2</v>
      </c>
      <c r="K135">
        <v>1650.48</v>
      </c>
      <c r="L135" s="1" t="s">
        <v>28</v>
      </c>
      <c r="M135" s="1" t="s">
        <v>19</v>
      </c>
      <c r="N135" s="1" t="s">
        <v>25</v>
      </c>
      <c r="O135" s="1"/>
      <c r="P135" s="1" t="s">
        <v>29</v>
      </c>
      <c r="Q135" s="1" t="s">
        <v>48</v>
      </c>
      <c r="R135">
        <v>5</v>
      </c>
    </row>
    <row r="136" spans="1:18" x14ac:dyDescent="0.25">
      <c r="A136" s="1" t="s">
        <v>176</v>
      </c>
      <c r="B136" s="4">
        <v>46237</v>
      </c>
      <c r="C136" s="2">
        <v>0.80555555555555558</v>
      </c>
      <c r="D136">
        <v>4</v>
      </c>
      <c r="E136" s="3">
        <v>46237.805555555555</v>
      </c>
      <c r="F136" s="3">
        <v>46237.816666666666</v>
      </c>
      <c r="G136" s="3">
        <v>46237.840277777781</v>
      </c>
      <c r="H136" s="3">
        <v>46237.884722222225</v>
      </c>
      <c r="I136" s="3">
        <v>46237.893055555556</v>
      </c>
      <c r="J136" s="6">
        <f>IF(OR(NOT(ISNUMBER(Raw_Data[[#This Row],[Table_Vacated_Time]])),NOT(ISNUMBER(Raw_Data[[#This Row],[Seating_Time]])))," ",Raw_Data[[#This Row],[Table_Vacated_Time]]-Raw_Data[[#This Row],[Seating_Time]])</f>
        <v>8.7500000001455192E-2</v>
      </c>
      <c r="K136">
        <v>1124.32</v>
      </c>
      <c r="L136" s="1" t="s">
        <v>31</v>
      </c>
      <c r="M136" s="1" t="s">
        <v>32</v>
      </c>
      <c r="N136" s="1" t="s">
        <v>33</v>
      </c>
      <c r="O136" s="1" t="s">
        <v>279</v>
      </c>
      <c r="P136" s="1" t="s">
        <v>21</v>
      </c>
      <c r="Q136" s="1" t="s">
        <v>53</v>
      </c>
      <c r="R136">
        <v>6</v>
      </c>
    </row>
    <row r="137" spans="1:18" x14ac:dyDescent="0.25">
      <c r="A137" s="1" t="s">
        <v>177</v>
      </c>
      <c r="B137" s="4">
        <v>46260</v>
      </c>
      <c r="C137" s="2">
        <v>0.80902777777777779</v>
      </c>
      <c r="D137">
        <v>7</v>
      </c>
      <c r="E137" s="3">
        <v>46260.809027777781</v>
      </c>
      <c r="F137" s="3">
        <v>46260.815972222219</v>
      </c>
      <c r="G137" s="3">
        <v>46260.834027777775</v>
      </c>
      <c r="H137" s="3">
        <v>46260.87222222222</v>
      </c>
      <c r="I137" s="3">
        <v>46260.875</v>
      </c>
      <c r="J137" s="6">
        <f>IF(OR(NOT(ISNUMBER(Raw_Data[[#This Row],[Table_Vacated_Time]])),NOT(ISNUMBER(Raw_Data[[#This Row],[Seating_Time]])))," ",Raw_Data[[#This Row],[Table_Vacated_Time]]-Raw_Data[[#This Row],[Seating_Time]])</f>
        <v>6.5972222218988463E-2</v>
      </c>
      <c r="K137">
        <v>2842.46</v>
      </c>
      <c r="L137" s="1" t="s">
        <v>28</v>
      </c>
      <c r="M137" s="1" t="s">
        <v>19</v>
      </c>
      <c r="N137" s="1" t="s">
        <v>25</v>
      </c>
      <c r="O137" s="1" t="s">
        <v>281</v>
      </c>
      <c r="P137" s="1" t="s">
        <v>34</v>
      </c>
      <c r="Q137" s="1" t="s">
        <v>48</v>
      </c>
      <c r="R137">
        <v>19</v>
      </c>
    </row>
    <row r="138" spans="1:18" x14ac:dyDescent="0.25">
      <c r="A138" s="1" t="s">
        <v>178</v>
      </c>
      <c r="B138" s="4">
        <v>46250</v>
      </c>
      <c r="C138" s="2">
        <v>0.8125</v>
      </c>
      <c r="D138">
        <v>8</v>
      </c>
      <c r="E138" s="3">
        <v>46250.8125</v>
      </c>
      <c r="F138" s="3">
        <v>46250.817361111112</v>
      </c>
      <c r="G138" s="3">
        <v>46250.832638888889</v>
      </c>
      <c r="H138" s="3">
        <v>46250.875</v>
      </c>
      <c r="I138" s="3">
        <v>46250.877083333333</v>
      </c>
      <c r="J138" s="6">
        <f>IF(OR(NOT(ISNUMBER(Raw_Data[[#This Row],[Table_Vacated_Time]])),NOT(ISNUMBER(Raw_Data[[#This Row],[Seating_Time]])))," ",Raw_Data[[#This Row],[Table_Vacated_Time]]-Raw_Data[[#This Row],[Seating_Time]])</f>
        <v>6.4583333332848269E-2</v>
      </c>
      <c r="K138">
        <v>1679.21</v>
      </c>
      <c r="L138" s="1" t="s">
        <v>31</v>
      </c>
      <c r="M138" s="1" t="s">
        <v>22</v>
      </c>
      <c r="N138" s="1" t="s">
        <v>41</v>
      </c>
      <c r="O138" s="1"/>
      <c r="P138" s="1" t="s">
        <v>34</v>
      </c>
      <c r="Q138" s="1" t="s">
        <v>66</v>
      </c>
      <c r="R138">
        <v>3</v>
      </c>
    </row>
    <row r="139" spans="1:18" x14ac:dyDescent="0.25">
      <c r="A139" s="1" t="s">
        <v>179</v>
      </c>
      <c r="B139" s="4">
        <v>46253</v>
      </c>
      <c r="C139" s="2">
        <v>0.54861111111111116</v>
      </c>
      <c r="D139">
        <v>5</v>
      </c>
      <c r="E139" s="3">
        <v>46253.548611111109</v>
      </c>
      <c r="F139" s="3">
        <v>46253.561111111114</v>
      </c>
      <c r="G139" s="3">
        <v>46253.570138888892</v>
      </c>
      <c r="H139" s="3">
        <v>46253.588888888888</v>
      </c>
      <c r="I139" s="3">
        <v>46253.595833333333</v>
      </c>
      <c r="J139" s="6">
        <f>IF(OR(NOT(ISNUMBER(Raw_Data[[#This Row],[Table_Vacated_Time]])),NOT(ISNUMBER(Raw_Data[[#This Row],[Seating_Time]])))," ",Raw_Data[[#This Row],[Table_Vacated_Time]]-Raw_Data[[#This Row],[Seating_Time]])</f>
        <v>4.7222222223354038E-2</v>
      </c>
      <c r="K139">
        <v>1572.87</v>
      </c>
      <c r="L139" s="1" t="s">
        <v>18</v>
      </c>
      <c r="M139" s="1" t="s">
        <v>47</v>
      </c>
      <c r="N139" s="1" t="s">
        <v>25</v>
      </c>
      <c r="O139" s="1"/>
      <c r="P139" s="1" t="s">
        <v>21</v>
      </c>
      <c r="Q139" s="1" t="s">
        <v>19</v>
      </c>
      <c r="R139">
        <v>17</v>
      </c>
    </row>
    <row r="140" spans="1:18" x14ac:dyDescent="0.25">
      <c r="A140" s="1" t="s">
        <v>180</v>
      </c>
      <c r="B140" s="4">
        <v>46265</v>
      </c>
      <c r="C140" s="2">
        <v>0.93055555555555558</v>
      </c>
      <c r="D140">
        <v>2</v>
      </c>
      <c r="E140" s="3">
        <v>46265.930555555555</v>
      </c>
      <c r="F140" s="3">
        <v>46265.936111111114</v>
      </c>
      <c r="G140" s="3">
        <v>46265.958333333336</v>
      </c>
      <c r="H140" s="3">
        <v>46265.996527777781</v>
      </c>
      <c r="I140" s="3">
        <v>46266.000694444447</v>
      </c>
      <c r="J140" s="6">
        <f>IF(OR(NOT(ISNUMBER(Raw_Data[[#This Row],[Table_Vacated_Time]])),NOT(ISNUMBER(Raw_Data[[#This Row],[Seating_Time]])))," ",Raw_Data[[#This Row],[Table_Vacated_Time]]-Raw_Data[[#This Row],[Seating_Time]])</f>
        <v>7.013888889196096E-2</v>
      </c>
      <c r="K140">
        <v>1837.43</v>
      </c>
      <c r="L140" s="1" t="s">
        <v>31</v>
      </c>
      <c r="M140" s="1" t="s">
        <v>19</v>
      </c>
      <c r="N140" s="1" t="s">
        <v>41</v>
      </c>
      <c r="O140" s="1" t="s">
        <v>278</v>
      </c>
      <c r="P140" s="1" t="s">
        <v>34</v>
      </c>
      <c r="Q140" s="1" t="s">
        <v>44</v>
      </c>
      <c r="R140">
        <v>9</v>
      </c>
    </row>
    <row r="141" spans="1:18" x14ac:dyDescent="0.25">
      <c r="A141" s="1" t="s">
        <v>181</v>
      </c>
      <c r="B141" s="4">
        <v>46240</v>
      </c>
      <c r="C141" s="2">
        <v>0.87152777777777779</v>
      </c>
      <c r="D141">
        <v>8</v>
      </c>
      <c r="E141" s="3">
        <v>46240.871527777781</v>
      </c>
      <c r="F141" s="3">
        <v>46240.884027777778</v>
      </c>
      <c r="G141" s="3">
        <v>46240.904861111114</v>
      </c>
      <c r="H141" s="3">
        <v>46240.920138888891</v>
      </c>
      <c r="I141" s="3">
        <v>46240.930555555555</v>
      </c>
      <c r="J141" s="6">
        <f>IF(OR(NOT(ISNUMBER(Raw_Data[[#This Row],[Table_Vacated_Time]])),NOT(ISNUMBER(Raw_Data[[#This Row],[Seating_Time]])))," ",Raw_Data[[#This Row],[Table_Vacated_Time]]-Raw_Data[[#This Row],[Seating_Time]])</f>
        <v>5.9027777773735579E-2</v>
      </c>
      <c r="K141">
        <v>1433.02</v>
      </c>
      <c r="L141" s="1" t="s">
        <v>28</v>
      </c>
      <c r="M141" s="1" t="s">
        <v>44</v>
      </c>
      <c r="N141" s="1" t="s">
        <v>25</v>
      </c>
      <c r="O141" s="1"/>
      <c r="P141" s="1" t="s">
        <v>21</v>
      </c>
      <c r="Q141" s="1" t="s">
        <v>26</v>
      </c>
      <c r="R141">
        <v>11</v>
      </c>
    </row>
    <row r="142" spans="1:18" x14ac:dyDescent="0.25">
      <c r="A142" s="1" t="s">
        <v>182</v>
      </c>
      <c r="B142" s="4">
        <v>46253</v>
      </c>
      <c r="C142" s="2">
        <v>0.78472222222222221</v>
      </c>
      <c r="D142">
        <v>1</v>
      </c>
      <c r="E142" s="3">
        <v>46253.784722222219</v>
      </c>
      <c r="F142" s="3">
        <v>46253.795138888891</v>
      </c>
      <c r="G142" s="3">
        <v>46253.81527777778</v>
      </c>
      <c r="H142" s="3">
        <v>46253.841666666667</v>
      </c>
      <c r="I142" s="3">
        <v>46253.85</v>
      </c>
      <c r="J142" s="6">
        <f>IF(OR(NOT(ISNUMBER(Raw_Data[[#This Row],[Table_Vacated_Time]])),NOT(ISNUMBER(Raw_Data[[#This Row],[Seating_Time]])))," ",Raw_Data[[#This Row],[Table_Vacated_Time]]-Raw_Data[[#This Row],[Seating_Time]])</f>
        <v>6.5277777779556345E-2</v>
      </c>
      <c r="K142">
        <v>1395.1</v>
      </c>
      <c r="L142" s="1" t="s">
        <v>28</v>
      </c>
      <c r="M142" s="1" t="s">
        <v>32</v>
      </c>
      <c r="N142" s="1" t="s">
        <v>20</v>
      </c>
      <c r="O142" s="1" t="s">
        <v>280</v>
      </c>
      <c r="P142" s="1" t="s">
        <v>29</v>
      </c>
      <c r="Q142" s="1" t="s">
        <v>22</v>
      </c>
      <c r="R142">
        <v>16</v>
      </c>
    </row>
    <row r="143" spans="1:18" x14ac:dyDescent="0.25">
      <c r="A143" s="1" t="s">
        <v>183</v>
      </c>
      <c r="B143" s="4">
        <v>46257</v>
      </c>
      <c r="C143" s="2">
        <v>0.52430555555555558</v>
      </c>
      <c r="D143">
        <v>5</v>
      </c>
      <c r="E143" s="3">
        <v>46257.524305555555</v>
      </c>
      <c r="F143" s="3">
        <v>46257.532638888886</v>
      </c>
      <c r="G143" s="3">
        <v>46257.545138888891</v>
      </c>
      <c r="H143" s="3">
        <v>46257.573611111111</v>
      </c>
      <c r="I143" s="3">
        <v>46257.581250000003</v>
      </c>
      <c r="J143" s="6">
        <f>IF(OR(NOT(ISNUMBER(Raw_Data[[#This Row],[Table_Vacated_Time]])),NOT(ISNUMBER(Raw_Data[[#This Row],[Seating_Time]])))," ",Raw_Data[[#This Row],[Table_Vacated_Time]]-Raw_Data[[#This Row],[Seating_Time]])</f>
        <v>5.6944444448163267E-2</v>
      </c>
      <c r="K143">
        <v>2468.9299999999998</v>
      </c>
      <c r="L143" s="1" t="s">
        <v>31</v>
      </c>
      <c r="M143" s="1" t="s">
        <v>22</v>
      </c>
      <c r="N143" s="1" t="s">
        <v>25</v>
      </c>
      <c r="O143" s="1" t="s">
        <v>281</v>
      </c>
      <c r="P143" s="1" t="s">
        <v>21</v>
      </c>
      <c r="Q143" s="1" t="s">
        <v>26</v>
      </c>
      <c r="R143">
        <v>16</v>
      </c>
    </row>
    <row r="144" spans="1:18" x14ac:dyDescent="0.25">
      <c r="A144" s="1" t="s">
        <v>184</v>
      </c>
      <c r="B144" s="4">
        <v>46246</v>
      </c>
      <c r="C144" s="2">
        <v>0.79513888888888884</v>
      </c>
      <c r="D144">
        <v>4</v>
      </c>
      <c r="E144" s="3">
        <v>46246.795138888891</v>
      </c>
      <c r="F144" s="3">
        <v>46246.803472222222</v>
      </c>
      <c r="G144" s="3">
        <v>46246.813888888886</v>
      </c>
      <c r="H144" s="3">
        <v>46246.839583333334</v>
      </c>
      <c r="I144" s="3">
        <v>46246.845833333333</v>
      </c>
      <c r="J144" s="6">
        <f>IF(OR(NOT(ISNUMBER(Raw_Data[[#This Row],[Table_Vacated_Time]])),NOT(ISNUMBER(Raw_Data[[#This Row],[Seating_Time]])))," ",Raw_Data[[#This Row],[Table_Vacated_Time]]-Raw_Data[[#This Row],[Seating_Time]])</f>
        <v>5.0694444442342501E-2</v>
      </c>
      <c r="K144">
        <v>745.88</v>
      </c>
      <c r="L144" s="1" t="s">
        <v>28</v>
      </c>
      <c r="M144" s="1" t="s">
        <v>44</v>
      </c>
      <c r="N144" s="1" t="s">
        <v>25</v>
      </c>
      <c r="O144" s="1" t="s">
        <v>281</v>
      </c>
      <c r="P144" s="1" t="s">
        <v>34</v>
      </c>
      <c r="Q144" s="1" t="s">
        <v>42</v>
      </c>
      <c r="R144">
        <v>8</v>
      </c>
    </row>
    <row r="145" spans="1:18" x14ac:dyDescent="0.25">
      <c r="A145" s="1" t="s">
        <v>185</v>
      </c>
      <c r="B145" s="4">
        <v>46242</v>
      </c>
      <c r="C145" s="2">
        <v>0.92361111111111116</v>
      </c>
      <c r="D145">
        <v>4</v>
      </c>
      <c r="E145" s="3">
        <v>46242.923611111109</v>
      </c>
      <c r="F145" s="3">
        <v>46242.93472222222</v>
      </c>
      <c r="G145" s="3">
        <v>46242.95</v>
      </c>
      <c r="H145" s="3">
        <v>46242.972222222219</v>
      </c>
      <c r="I145" s="3">
        <v>46242.981944444444</v>
      </c>
      <c r="J145" s="6">
        <f>IF(OR(NOT(ISNUMBER(Raw_Data[[#This Row],[Table_Vacated_Time]])),NOT(ISNUMBER(Raw_Data[[#This Row],[Seating_Time]])))," ",Raw_Data[[#This Row],[Table_Vacated_Time]]-Raw_Data[[#This Row],[Seating_Time]])</f>
        <v>5.8333333334303461E-2</v>
      </c>
      <c r="K145">
        <v>1731.55</v>
      </c>
      <c r="L145" s="1" t="s">
        <v>18</v>
      </c>
      <c r="M145" s="1" t="s">
        <v>24</v>
      </c>
      <c r="N145" s="1" t="s">
        <v>20</v>
      </c>
      <c r="O145" s="1" t="s">
        <v>280</v>
      </c>
      <c r="P145" s="1" t="s">
        <v>29</v>
      </c>
      <c r="Q145" s="1" t="s">
        <v>53</v>
      </c>
      <c r="R145">
        <v>19</v>
      </c>
    </row>
    <row r="146" spans="1:18" x14ac:dyDescent="0.25">
      <c r="A146" s="1" t="s">
        <v>186</v>
      </c>
      <c r="B146" s="4">
        <v>46237</v>
      </c>
      <c r="C146" s="2">
        <v>0.94444444444444442</v>
      </c>
      <c r="D146">
        <v>6</v>
      </c>
      <c r="E146" s="3">
        <v>46237.944444444445</v>
      </c>
      <c r="F146" s="3">
        <v>46237.95</v>
      </c>
      <c r="G146" s="3">
        <v>46237.970833333333</v>
      </c>
      <c r="H146" s="3"/>
      <c r="I146" s="3"/>
      <c r="J146" s="6" t="str">
        <f>IF(OR(NOT(ISNUMBER(Raw_Data[[#This Row],[Table_Vacated_Time]])),NOT(ISNUMBER(Raw_Data[[#This Row],[Seating_Time]])))," ",Raw_Data[[#This Row],[Table_Vacated_Time]]-Raw_Data[[#This Row],[Seating_Time]])</f>
        <v xml:space="preserve"> </v>
      </c>
      <c r="K146">
        <v>1811.65</v>
      </c>
      <c r="L146" s="1" t="s">
        <v>28</v>
      </c>
      <c r="M146" s="1" t="s">
        <v>24</v>
      </c>
      <c r="N146" s="1" t="s">
        <v>25</v>
      </c>
      <c r="O146" s="1" t="s">
        <v>278</v>
      </c>
      <c r="P146" s="1" t="s">
        <v>21</v>
      </c>
      <c r="Q146" s="1" t="s">
        <v>81</v>
      </c>
      <c r="R146">
        <v>8</v>
      </c>
    </row>
    <row r="147" spans="1:18" x14ac:dyDescent="0.25">
      <c r="A147" s="1" t="s">
        <v>187</v>
      </c>
      <c r="B147" s="4">
        <v>46238</v>
      </c>
      <c r="C147" s="2">
        <v>0.80555555555555558</v>
      </c>
      <c r="D147">
        <v>4</v>
      </c>
      <c r="E147" s="3">
        <v>46238.805555555555</v>
      </c>
      <c r="F147" s="3">
        <v>46238.8125</v>
      </c>
      <c r="G147" s="3">
        <v>46238.821527777778</v>
      </c>
      <c r="H147" s="3">
        <v>46238.852777777778</v>
      </c>
      <c r="I147" s="3">
        <v>46238.854166666664</v>
      </c>
      <c r="J147" s="6">
        <f>IF(OR(NOT(ISNUMBER(Raw_Data[[#This Row],[Table_Vacated_Time]])),NOT(ISNUMBER(Raw_Data[[#This Row],[Seating_Time]])))," ",Raw_Data[[#This Row],[Table_Vacated_Time]]-Raw_Data[[#This Row],[Seating_Time]])</f>
        <v>4.8611111109494232E-2</v>
      </c>
      <c r="K147">
        <v>2060</v>
      </c>
      <c r="L147" s="1" t="s">
        <v>18</v>
      </c>
      <c r="M147" s="1" t="s">
        <v>22</v>
      </c>
      <c r="N147" s="1" t="s">
        <v>25</v>
      </c>
      <c r="O147" s="1" t="s">
        <v>277</v>
      </c>
      <c r="P147" s="1" t="s">
        <v>29</v>
      </c>
      <c r="Q147" s="1" t="s">
        <v>39</v>
      </c>
      <c r="R147">
        <v>13</v>
      </c>
    </row>
    <row r="148" spans="1:18" x14ac:dyDescent="0.25">
      <c r="A148" s="1" t="s">
        <v>188</v>
      </c>
      <c r="B148" s="4">
        <v>46249</v>
      </c>
      <c r="C148" s="2">
        <v>0.84722222222222221</v>
      </c>
      <c r="D148">
        <v>8</v>
      </c>
      <c r="E148" s="3">
        <v>46249.847222222219</v>
      </c>
      <c r="F148" s="3">
        <v>46249.851388888892</v>
      </c>
      <c r="G148" s="3">
        <v>46249.862500000003</v>
      </c>
      <c r="H148" s="3">
        <v>46249.880555555559</v>
      </c>
      <c r="I148" s="3">
        <v>46249.886111111111</v>
      </c>
      <c r="J148" s="6">
        <f>IF(OR(NOT(ISNUMBER(Raw_Data[[#This Row],[Table_Vacated_Time]])),NOT(ISNUMBER(Raw_Data[[#This Row],[Seating_Time]])))," ",Raw_Data[[#This Row],[Table_Vacated_Time]]-Raw_Data[[#This Row],[Seating_Time]])</f>
        <v>3.888888889196096E-2</v>
      </c>
      <c r="K148">
        <v>1429.68</v>
      </c>
      <c r="L148" s="1" t="s">
        <v>31</v>
      </c>
      <c r="M148" s="1" t="s">
        <v>22</v>
      </c>
      <c r="N148" s="1" t="s">
        <v>41</v>
      </c>
      <c r="O148" s="1" t="s">
        <v>279</v>
      </c>
      <c r="P148" s="1" t="s">
        <v>34</v>
      </c>
      <c r="Q148" s="1" t="s">
        <v>39</v>
      </c>
      <c r="R148">
        <v>20</v>
      </c>
    </row>
    <row r="149" spans="1:18" x14ac:dyDescent="0.25">
      <c r="A149" s="1" t="s">
        <v>189</v>
      </c>
      <c r="B149" s="4">
        <v>46247</v>
      </c>
      <c r="C149" s="2">
        <v>0.79166666666666663</v>
      </c>
      <c r="D149">
        <v>1</v>
      </c>
      <c r="E149" s="3">
        <v>46247.791666666664</v>
      </c>
      <c r="F149" s="3">
        <v>46247.802777777775</v>
      </c>
      <c r="G149" s="3">
        <v>46247.818055555559</v>
      </c>
      <c r="H149" s="3">
        <v>46247.852777777778</v>
      </c>
      <c r="I149" s="3">
        <v>46247.859722222223</v>
      </c>
      <c r="J149" s="6">
        <f>IF(OR(NOT(ISNUMBER(Raw_Data[[#This Row],[Table_Vacated_Time]])),NOT(ISNUMBER(Raw_Data[[#This Row],[Seating_Time]])))," ",Raw_Data[[#This Row],[Table_Vacated_Time]]-Raw_Data[[#This Row],[Seating_Time]])</f>
        <v>6.805555555911269E-2</v>
      </c>
      <c r="K149">
        <v>543.75</v>
      </c>
      <c r="L149" s="1" t="s">
        <v>18</v>
      </c>
      <c r="M149" s="1" t="s">
        <v>47</v>
      </c>
      <c r="N149" s="1" t="s">
        <v>25</v>
      </c>
      <c r="O149" s="1" t="s">
        <v>278</v>
      </c>
      <c r="P149" s="1" t="s">
        <v>29</v>
      </c>
      <c r="Q149" s="1" t="s">
        <v>44</v>
      </c>
      <c r="R149">
        <v>5</v>
      </c>
    </row>
    <row r="150" spans="1:18" x14ac:dyDescent="0.25">
      <c r="A150" s="1" t="s">
        <v>190</v>
      </c>
      <c r="B150" s="4">
        <v>46247</v>
      </c>
      <c r="C150" s="2">
        <v>0.95486111111111116</v>
      </c>
      <c r="D150">
        <v>4</v>
      </c>
      <c r="E150" s="3">
        <v>46247.954861111109</v>
      </c>
      <c r="F150" s="3">
        <v>46247.961805555555</v>
      </c>
      <c r="G150" s="3">
        <v>46247.981249999997</v>
      </c>
      <c r="H150" s="3">
        <v>46248.017361111109</v>
      </c>
      <c r="I150" s="3">
        <v>46248.024305555555</v>
      </c>
      <c r="J150" s="6">
        <f>IF(OR(NOT(ISNUMBER(Raw_Data[[#This Row],[Table_Vacated_Time]])),NOT(ISNUMBER(Raw_Data[[#This Row],[Seating_Time]])))," ",Raw_Data[[#This Row],[Table_Vacated_Time]]-Raw_Data[[#This Row],[Seating_Time]])</f>
        <v>6.9444444445252884E-2</v>
      </c>
      <c r="K150">
        <v>1917.07</v>
      </c>
      <c r="L150" s="1" t="s">
        <v>18</v>
      </c>
      <c r="M150" s="1" t="s">
        <v>59</v>
      </c>
      <c r="N150" s="1" t="s">
        <v>20</v>
      </c>
      <c r="O150" s="1"/>
      <c r="P150" s="1" t="s">
        <v>21</v>
      </c>
      <c r="Q150" s="1" t="s">
        <v>19</v>
      </c>
      <c r="R150">
        <v>19</v>
      </c>
    </row>
    <row r="151" spans="1:18" x14ac:dyDescent="0.25">
      <c r="A151" s="1" t="s">
        <v>191</v>
      </c>
      <c r="B151" s="4">
        <v>46245</v>
      </c>
      <c r="C151" s="2">
        <v>0.85416666666666663</v>
      </c>
      <c r="D151">
        <v>8</v>
      </c>
      <c r="E151" s="3">
        <v>46245.854166666664</v>
      </c>
      <c r="F151" s="3">
        <v>46245.865972222222</v>
      </c>
      <c r="G151" s="3">
        <v>46245.890277777777</v>
      </c>
      <c r="H151" s="3">
        <v>46245.93472222222</v>
      </c>
      <c r="I151" s="3">
        <v>46245.943055555559</v>
      </c>
      <c r="J151" s="6">
        <f>IF(OR(NOT(ISNUMBER(Raw_Data[[#This Row],[Table_Vacated_Time]])),NOT(ISNUMBER(Raw_Data[[#This Row],[Seating_Time]])))," ",Raw_Data[[#This Row],[Table_Vacated_Time]]-Raw_Data[[#This Row],[Seating_Time]])</f>
        <v>8.8888888894871343E-2</v>
      </c>
      <c r="K151">
        <v>2046.01</v>
      </c>
      <c r="L151" s="1" t="s">
        <v>28</v>
      </c>
      <c r="M151" s="1" t="s">
        <v>59</v>
      </c>
      <c r="N151" s="1" t="s">
        <v>41</v>
      </c>
      <c r="O151" s="1"/>
      <c r="P151" s="1" t="s">
        <v>21</v>
      </c>
      <c r="Q151" s="1" t="s">
        <v>92</v>
      </c>
      <c r="R151">
        <v>10</v>
      </c>
    </row>
    <row r="152" spans="1:18" x14ac:dyDescent="0.25">
      <c r="A152" s="1" t="s">
        <v>192</v>
      </c>
      <c r="B152" s="4">
        <v>46250</v>
      </c>
      <c r="C152" s="2">
        <v>0.57638888888888884</v>
      </c>
      <c r="D152">
        <v>8</v>
      </c>
      <c r="E152" s="3">
        <v>46250.576388888891</v>
      </c>
      <c r="F152" s="3">
        <v>46250.581250000003</v>
      </c>
      <c r="G152" s="3">
        <v>46250.607638888891</v>
      </c>
      <c r="H152" s="3">
        <v>46250.651388888888</v>
      </c>
      <c r="I152" s="3">
        <v>46250.654861111114</v>
      </c>
      <c r="J152" s="6">
        <f>IF(OR(NOT(ISNUMBER(Raw_Data[[#This Row],[Table_Vacated_Time]])),NOT(ISNUMBER(Raw_Data[[#This Row],[Seating_Time]])))," ",Raw_Data[[#This Row],[Table_Vacated_Time]]-Raw_Data[[#This Row],[Seating_Time]])</f>
        <v>7.8472222223354038E-2</v>
      </c>
      <c r="K152">
        <v>2022.99</v>
      </c>
      <c r="L152" s="1" t="s">
        <v>31</v>
      </c>
      <c r="M152" s="1" t="s">
        <v>19</v>
      </c>
      <c r="N152" s="1" t="s">
        <v>41</v>
      </c>
      <c r="O152" s="1" t="s">
        <v>277</v>
      </c>
      <c r="P152" s="1" t="s">
        <v>29</v>
      </c>
      <c r="Q152" s="1" t="s">
        <v>19</v>
      </c>
      <c r="R152">
        <v>13</v>
      </c>
    </row>
    <row r="153" spans="1:18" x14ac:dyDescent="0.25">
      <c r="A153" s="1" t="s">
        <v>193</v>
      </c>
      <c r="B153" s="4">
        <v>46248</v>
      </c>
      <c r="C153" s="2">
        <v>0.57986111111111116</v>
      </c>
      <c r="D153">
        <v>3</v>
      </c>
      <c r="E153" s="3">
        <v>46248.579861111109</v>
      </c>
      <c r="F153" s="3">
        <v>46248.588888888888</v>
      </c>
      <c r="G153" s="3">
        <v>46248.613888888889</v>
      </c>
      <c r="H153" s="3">
        <v>46248.654861111114</v>
      </c>
      <c r="I153" s="3">
        <v>46248.661111111112</v>
      </c>
      <c r="J153" s="6">
        <f>IF(OR(NOT(ISNUMBER(Raw_Data[[#This Row],[Table_Vacated_Time]])),NOT(ISNUMBER(Raw_Data[[#This Row],[Seating_Time]])))," ",Raw_Data[[#This Row],[Table_Vacated_Time]]-Raw_Data[[#This Row],[Seating_Time]])</f>
        <v>8.1250000002910383E-2</v>
      </c>
      <c r="K153">
        <v>1700.55</v>
      </c>
      <c r="L153" s="1" t="s">
        <v>31</v>
      </c>
      <c r="M153" s="1" t="s">
        <v>44</v>
      </c>
      <c r="N153" s="1" t="s">
        <v>41</v>
      </c>
      <c r="O153" s="1" t="s">
        <v>278</v>
      </c>
      <c r="P153" s="1" t="s">
        <v>21</v>
      </c>
      <c r="Q153" s="1" t="s">
        <v>39</v>
      </c>
      <c r="R153">
        <v>14</v>
      </c>
    </row>
    <row r="154" spans="1:18" x14ac:dyDescent="0.25">
      <c r="A154" s="1" t="s">
        <v>194</v>
      </c>
      <c r="B154" s="4">
        <v>46245</v>
      </c>
      <c r="C154" s="2">
        <v>0.94097222222222221</v>
      </c>
      <c r="D154">
        <v>7</v>
      </c>
      <c r="E154" s="3">
        <v>46245.940972222219</v>
      </c>
      <c r="F154" s="3">
        <v>46245.947916666664</v>
      </c>
      <c r="G154" s="3">
        <v>46245.959722222222</v>
      </c>
      <c r="H154" s="3">
        <v>46245.993750000001</v>
      </c>
      <c r="I154" s="3">
        <v>46246.000694444447</v>
      </c>
      <c r="J154" s="6">
        <f>IF(OR(NOT(ISNUMBER(Raw_Data[[#This Row],[Table_Vacated_Time]])),NOT(ISNUMBER(Raw_Data[[#This Row],[Seating_Time]])))," ",Raw_Data[[#This Row],[Table_Vacated_Time]]-Raw_Data[[#This Row],[Seating_Time]])</f>
        <v>5.9722222227719612E-2</v>
      </c>
      <c r="K154">
        <v>1615.99</v>
      </c>
      <c r="L154" s="1" t="s">
        <v>31</v>
      </c>
      <c r="M154" s="1" t="s">
        <v>59</v>
      </c>
      <c r="N154" s="1" t="s">
        <v>20</v>
      </c>
      <c r="O154" s="1" t="s">
        <v>279</v>
      </c>
      <c r="P154" s="1" t="s">
        <v>21</v>
      </c>
      <c r="Q154" s="1" t="s">
        <v>36</v>
      </c>
      <c r="R154">
        <v>13</v>
      </c>
    </row>
    <row r="155" spans="1:18" x14ac:dyDescent="0.25">
      <c r="A155" s="1" t="s">
        <v>195</v>
      </c>
      <c r="B155" s="4">
        <v>46252</v>
      </c>
      <c r="C155" s="2">
        <v>0.59722222222222221</v>
      </c>
      <c r="D155">
        <v>4</v>
      </c>
      <c r="E155" s="3">
        <v>46252.597222222219</v>
      </c>
      <c r="F155" s="3">
        <v>46252.60833333333</v>
      </c>
      <c r="G155" s="3">
        <v>46252.631944444445</v>
      </c>
      <c r="H155" s="3">
        <v>46252.667361111111</v>
      </c>
      <c r="I155" s="3">
        <v>46252.672222222223</v>
      </c>
      <c r="J155" s="6">
        <f>IF(OR(NOT(ISNUMBER(Raw_Data[[#This Row],[Table_Vacated_Time]])),NOT(ISNUMBER(Raw_Data[[#This Row],[Seating_Time]])))," ",Raw_Data[[#This Row],[Table_Vacated_Time]]-Raw_Data[[#This Row],[Seating_Time]])</f>
        <v>7.5000000004365575E-2</v>
      </c>
      <c r="K155">
        <v>1757.74</v>
      </c>
      <c r="L155" s="1" t="s">
        <v>18</v>
      </c>
      <c r="M155" s="1" t="s">
        <v>59</v>
      </c>
      <c r="N155" s="1" t="s">
        <v>25</v>
      </c>
      <c r="O155" s="1" t="s">
        <v>277</v>
      </c>
      <c r="P155" s="1" t="s">
        <v>34</v>
      </c>
      <c r="Q155" s="1" t="s">
        <v>66</v>
      </c>
      <c r="R155">
        <v>7</v>
      </c>
    </row>
    <row r="156" spans="1:18" x14ac:dyDescent="0.25">
      <c r="A156" s="1" t="s">
        <v>196</v>
      </c>
      <c r="B156" s="4">
        <v>46252</v>
      </c>
      <c r="C156" s="2">
        <v>0.77083333333333337</v>
      </c>
      <c r="D156">
        <v>4</v>
      </c>
      <c r="E156" s="3">
        <v>46252.770833333336</v>
      </c>
      <c r="F156" s="3">
        <v>46252.777083333334</v>
      </c>
      <c r="G156" s="3">
        <v>46252.786111111112</v>
      </c>
      <c r="H156" s="3">
        <v>46252.8125</v>
      </c>
      <c r="I156" s="3">
        <v>46252.821527777778</v>
      </c>
      <c r="J156" s="6">
        <f>IF(OR(NOT(ISNUMBER(Raw_Data[[#This Row],[Table_Vacated_Time]])),NOT(ISNUMBER(Raw_Data[[#This Row],[Seating_Time]])))," ",Raw_Data[[#This Row],[Table_Vacated_Time]]-Raw_Data[[#This Row],[Seating_Time]])</f>
        <v>5.0694444442342501E-2</v>
      </c>
      <c r="K156">
        <v>1612.07</v>
      </c>
      <c r="L156" s="1" t="s">
        <v>28</v>
      </c>
      <c r="M156" s="1" t="s">
        <v>59</v>
      </c>
      <c r="N156" s="1" t="s">
        <v>20</v>
      </c>
      <c r="O156" s="1" t="s">
        <v>279</v>
      </c>
      <c r="P156" s="1" t="s">
        <v>21</v>
      </c>
      <c r="Q156" s="1" t="s">
        <v>81</v>
      </c>
      <c r="R156">
        <v>5</v>
      </c>
    </row>
    <row r="157" spans="1:18" x14ac:dyDescent="0.25">
      <c r="A157" s="1" t="s">
        <v>197</v>
      </c>
      <c r="B157" s="4">
        <v>46252</v>
      </c>
      <c r="C157" s="2">
        <v>0.61111111111111116</v>
      </c>
      <c r="D157">
        <v>4</v>
      </c>
      <c r="E157" s="3">
        <v>46252.611111111109</v>
      </c>
      <c r="F157" s="3">
        <v>46252.615277777775</v>
      </c>
      <c r="G157" s="3">
        <v>46252.636805555558</v>
      </c>
      <c r="H157" s="3">
        <v>46252.676388888889</v>
      </c>
      <c r="I157" s="3">
        <v>46252.679861111108</v>
      </c>
      <c r="J157" s="6">
        <f>IF(OR(NOT(ISNUMBER(Raw_Data[[#This Row],[Table_Vacated_Time]])),NOT(ISNUMBER(Raw_Data[[#This Row],[Seating_Time]])))," ",Raw_Data[[#This Row],[Table_Vacated_Time]]-Raw_Data[[#This Row],[Seating_Time]])</f>
        <v>6.8749999998544808E-2</v>
      </c>
      <c r="K157">
        <v>1237.1099999999999</v>
      </c>
      <c r="L157" s="1" t="s">
        <v>31</v>
      </c>
      <c r="M157" s="1" t="s">
        <v>32</v>
      </c>
      <c r="N157" s="1" t="s">
        <v>41</v>
      </c>
      <c r="O157" s="1" t="s">
        <v>277</v>
      </c>
      <c r="P157" s="1" t="s">
        <v>21</v>
      </c>
      <c r="Q157" s="1" t="s">
        <v>42</v>
      </c>
      <c r="R157">
        <v>5</v>
      </c>
    </row>
    <row r="158" spans="1:18" x14ac:dyDescent="0.25">
      <c r="A158" s="1" t="s">
        <v>198</v>
      </c>
      <c r="B158" s="4">
        <v>46245</v>
      </c>
      <c r="C158" s="2">
        <v>0.83680555555555558</v>
      </c>
      <c r="D158">
        <v>2</v>
      </c>
      <c r="E158" s="3">
        <v>46245.836805555555</v>
      </c>
      <c r="F158" s="3">
        <v>46245.845833333333</v>
      </c>
      <c r="G158" s="3">
        <v>46245.857638888891</v>
      </c>
      <c r="H158" s="3">
        <v>46245.88958333333</v>
      </c>
      <c r="I158" s="3">
        <v>46245.897916666669</v>
      </c>
      <c r="J158" s="6">
        <f>IF(OR(NOT(ISNUMBER(Raw_Data[[#This Row],[Table_Vacated_Time]])),NOT(ISNUMBER(Raw_Data[[#This Row],[Seating_Time]])))," ",Raw_Data[[#This Row],[Table_Vacated_Time]]-Raw_Data[[#This Row],[Seating_Time]])</f>
        <v>6.1111111113859806E-2</v>
      </c>
      <c r="K158">
        <v>2416.1799999999998</v>
      </c>
      <c r="L158" s="1" t="s">
        <v>28</v>
      </c>
      <c r="M158" s="1" t="s">
        <v>24</v>
      </c>
      <c r="N158" s="1" t="s">
        <v>41</v>
      </c>
      <c r="O158" s="1"/>
      <c r="P158" s="1" t="s">
        <v>29</v>
      </c>
      <c r="Q158" s="1" t="s">
        <v>19</v>
      </c>
      <c r="R158">
        <v>1</v>
      </c>
    </row>
    <row r="159" spans="1:18" x14ac:dyDescent="0.25">
      <c r="A159" s="1" t="s">
        <v>199</v>
      </c>
      <c r="B159" s="4">
        <v>46244</v>
      </c>
      <c r="C159" s="2">
        <v>0.83680555555555558</v>
      </c>
      <c r="D159">
        <v>8</v>
      </c>
      <c r="E159" s="3">
        <v>46244.836805555555</v>
      </c>
      <c r="F159" s="3">
        <v>46244.845833333333</v>
      </c>
      <c r="G159" s="3">
        <v>46244.870138888888</v>
      </c>
      <c r="H159" s="3">
        <v>46244.885416666664</v>
      </c>
      <c r="I159" s="3">
        <v>46244.888194444444</v>
      </c>
      <c r="J159" s="6">
        <f>IF(OR(NOT(ISNUMBER(Raw_Data[[#This Row],[Table_Vacated_Time]])),NOT(ISNUMBER(Raw_Data[[#This Row],[Seating_Time]])))," ",Raw_Data[[#This Row],[Table_Vacated_Time]]-Raw_Data[[#This Row],[Seating_Time]])</f>
        <v>5.1388888889050577E-2</v>
      </c>
      <c r="K159">
        <v>2370.61</v>
      </c>
      <c r="L159" s="1" t="s">
        <v>18</v>
      </c>
      <c r="M159" s="1" t="s">
        <v>44</v>
      </c>
      <c r="N159" s="1" t="s">
        <v>20</v>
      </c>
      <c r="O159" s="1"/>
      <c r="P159" s="1" t="s">
        <v>29</v>
      </c>
      <c r="Q159" s="1" t="s">
        <v>44</v>
      </c>
      <c r="R159">
        <v>8</v>
      </c>
    </row>
    <row r="160" spans="1:18" x14ac:dyDescent="0.25">
      <c r="A160" s="1" t="s">
        <v>200</v>
      </c>
      <c r="B160" s="4">
        <v>46264</v>
      </c>
      <c r="C160" s="2">
        <v>0.84722222222222221</v>
      </c>
      <c r="D160">
        <v>1</v>
      </c>
      <c r="E160" s="3">
        <v>46264.847222222219</v>
      </c>
      <c r="F160" s="3">
        <v>46264.853472222225</v>
      </c>
      <c r="G160" s="3">
        <v>46264.874305555553</v>
      </c>
      <c r="H160" s="3">
        <v>46264.914583333331</v>
      </c>
      <c r="I160" s="3">
        <v>46264.916666666664</v>
      </c>
      <c r="J160" s="6">
        <f>IF(OR(NOT(ISNUMBER(Raw_Data[[#This Row],[Table_Vacated_Time]])),NOT(ISNUMBER(Raw_Data[[#This Row],[Seating_Time]])))," ",Raw_Data[[#This Row],[Table_Vacated_Time]]-Raw_Data[[#This Row],[Seating_Time]])</f>
        <v>6.9444444445252884E-2</v>
      </c>
      <c r="K160">
        <v>614.78</v>
      </c>
      <c r="L160" s="1" t="s">
        <v>31</v>
      </c>
      <c r="M160" s="1" t="s">
        <v>59</v>
      </c>
      <c r="N160" s="1" t="s">
        <v>20</v>
      </c>
      <c r="O160" s="1"/>
      <c r="P160" s="1" t="s">
        <v>34</v>
      </c>
      <c r="Q160" s="1" t="s">
        <v>39</v>
      </c>
      <c r="R160">
        <v>1</v>
      </c>
    </row>
    <row r="161" spans="1:18" x14ac:dyDescent="0.25">
      <c r="A161" s="1" t="s">
        <v>201</v>
      </c>
      <c r="B161" s="4">
        <v>46250</v>
      </c>
      <c r="C161" s="2">
        <v>0.88194444444444442</v>
      </c>
      <c r="D161">
        <v>7</v>
      </c>
      <c r="E161" s="3">
        <v>46250.881944444445</v>
      </c>
      <c r="F161" s="3">
        <v>46250.888194444444</v>
      </c>
      <c r="G161" s="3">
        <v>46250.900694444441</v>
      </c>
      <c r="H161" s="3">
        <v>46250.919444444444</v>
      </c>
      <c r="I161" s="3">
        <v>46250.924305555556</v>
      </c>
      <c r="J161" s="6">
        <f>IF(OR(NOT(ISNUMBER(Raw_Data[[#This Row],[Table_Vacated_Time]])),NOT(ISNUMBER(Raw_Data[[#This Row],[Seating_Time]])))," ",Raw_Data[[#This Row],[Table_Vacated_Time]]-Raw_Data[[#This Row],[Seating_Time]])</f>
        <v>4.2361111110949423E-2</v>
      </c>
      <c r="K161">
        <v>2351.1</v>
      </c>
      <c r="L161" s="1" t="s">
        <v>28</v>
      </c>
      <c r="M161" s="1" t="s">
        <v>59</v>
      </c>
      <c r="N161" s="1" t="s">
        <v>41</v>
      </c>
      <c r="O161" s="1" t="s">
        <v>277</v>
      </c>
      <c r="P161" s="1" t="s">
        <v>34</v>
      </c>
      <c r="Q161" s="1" t="s">
        <v>19</v>
      </c>
      <c r="R161">
        <v>15</v>
      </c>
    </row>
    <row r="162" spans="1:18" x14ac:dyDescent="0.25">
      <c r="A162" s="1" t="s">
        <v>202</v>
      </c>
      <c r="B162" s="4">
        <v>46260</v>
      </c>
      <c r="C162" s="2">
        <v>0.61805555555555558</v>
      </c>
      <c r="D162">
        <v>3</v>
      </c>
      <c r="E162" s="3">
        <v>46260.618055555555</v>
      </c>
      <c r="F162" s="3">
        <v>46260.62777777778</v>
      </c>
      <c r="G162" s="3">
        <v>46260.65</v>
      </c>
      <c r="H162" s="3">
        <v>46260.681250000001</v>
      </c>
      <c r="I162" s="3">
        <v>46260.691666666666</v>
      </c>
      <c r="J162" s="6">
        <f>IF(OR(NOT(ISNUMBER(Raw_Data[[#This Row],[Table_Vacated_Time]])),NOT(ISNUMBER(Raw_Data[[#This Row],[Seating_Time]])))," ",Raw_Data[[#This Row],[Table_Vacated_Time]]-Raw_Data[[#This Row],[Seating_Time]])</f>
        <v>7.3611111110949423E-2</v>
      </c>
      <c r="K162">
        <v>973.93</v>
      </c>
      <c r="L162" s="1" t="s">
        <v>31</v>
      </c>
      <c r="M162" s="1" t="s">
        <v>19</v>
      </c>
      <c r="N162" s="1" t="s">
        <v>20</v>
      </c>
      <c r="O162" s="1"/>
      <c r="P162" s="1" t="s">
        <v>21</v>
      </c>
      <c r="Q162" s="1" t="s">
        <v>44</v>
      </c>
      <c r="R162">
        <v>6</v>
      </c>
    </row>
    <row r="163" spans="1:18" x14ac:dyDescent="0.25">
      <c r="A163" s="1" t="s">
        <v>203</v>
      </c>
      <c r="B163" s="4">
        <v>46239</v>
      </c>
      <c r="C163" s="2">
        <v>0.80208333333333337</v>
      </c>
      <c r="D163">
        <v>1</v>
      </c>
      <c r="E163" s="3">
        <v>46239.802083333336</v>
      </c>
      <c r="F163" s="3">
        <v>46239.80972222222</v>
      </c>
      <c r="G163" s="3"/>
      <c r="H163" s="3">
        <v>46239.856249999997</v>
      </c>
      <c r="I163" s="3">
        <v>46239.865972222222</v>
      </c>
      <c r="J163" s="6">
        <f>IF(OR(NOT(ISNUMBER(Raw_Data[[#This Row],[Table_Vacated_Time]])),NOT(ISNUMBER(Raw_Data[[#This Row],[Seating_Time]])))," ",Raw_Data[[#This Row],[Table_Vacated_Time]]-Raw_Data[[#This Row],[Seating_Time]])</f>
        <v>6.3888888886140194E-2</v>
      </c>
      <c r="K163">
        <v>1702.9</v>
      </c>
      <c r="L163" s="1" t="s">
        <v>31</v>
      </c>
      <c r="M163" s="1" t="s">
        <v>59</v>
      </c>
      <c r="N163" s="1" t="s">
        <v>33</v>
      </c>
      <c r="O163" s="1" t="s">
        <v>280</v>
      </c>
      <c r="P163" s="1" t="s">
        <v>34</v>
      </c>
      <c r="Q163" s="1" t="s">
        <v>19</v>
      </c>
      <c r="R163">
        <v>9</v>
      </c>
    </row>
    <row r="164" spans="1:18" x14ac:dyDescent="0.25">
      <c r="A164" s="1" t="s">
        <v>204</v>
      </c>
      <c r="B164" s="4">
        <v>46257</v>
      </c>
      <c r="C164" s="2">
        <v>0.57638888888888884</v>
      </c>
      <c r="D164">
        <v>2</v>
      </c>
      <c r="E164" s="3">
        <v>46257.576388888891</v>
      </c>
      <c r="F164" s="3">
        <v>46257.582638888889</v>
      </c>
      <c r="G164" s="3">
        <v>46257.594444444447</v>
      </c>
      <c r="H164" s="3">
        <v>46257.625694444447</v>
      </c>
      <c r="I164" s="3">
        <v>46257.634027777778</v>
      </c>
      <c r="J164" s="6">
        <f>IF(OR(NOT(ISNUMBER(Raw_Data[[#This Row],[Table_Vacated_Time]])),NOT(ISNUMBER(Raw_Data[[#This Row],[Seating_Time]])))," ",Raw_Data[[#This Row],[Table_Vacated_Time]]-Raw_Data[[#This Row],[Seating_Time]])</f>
        <v>5.7638888887595385E-2</v>
      </c>
      <c r="K164">
        <v>2027.23</v>
      </c>
      <c r="L164" s="1" t="s">
        <v>31</v>
      </c>
      <c r="M164" s="1" t="s">
        <v>59</v>
      </c>
      <c r="N164" s="1" t="s">
        <v>33</v>
      </c>
      <c r="O164" s="1"/>
      <c r="P164" s="1" t="s">
        <v>29</v>
      </c>
      <c r="Q164" s="1" t="s">
        <v>19</v>
      </c>
      <c r="R164">
        <v>15</v>
      </c>
    </row>
    <row r="165" spans="1:18" x14ac:dyDescent="0.25">
      <c r="A165" s="1" t="s">
        <v>205</v>
      </c>
      <c r="B165" s="4">
        <v>46254</v>
      </c>
      <c r="C165" s="2">
        <v>0.54861111111111116</v>
      </c>
      <c r="D165">
        <v>6</v>
      </c>
      <c r="E165" s="3">
        <v>46254.548611111109</v>
      </c>
      <c r="F165" s="3">
        <v>46254.556944444441</v>
      </c>
      <c r="G165" s="3">
        <v>46254.581250000003</v>
      </c>
      <c r="H165" s="3">
        <v>46254.621527777781</v>
      </c>
      <c r="I165" s="3">
        <v>46254.626388888886</v>
      </c>
      <c r="J165" s="6">
        <f>IF(OR(NOT(ISNUMBER(Raw_Data[[#This Row],[Table_Vacated_Time]])),NOT(ISNUMBER(Raw_Data[[#This Row],[Seating_Time]])))," ",Raw_Data[[#This Row],[Table_Vacated_Time]]-Raw_Data[[#This Row],[Seating_Time]])</f>
        <v>7.7777777776645962E-2</v>
      </c>
      <c r="K165">
        <v>1418.62</v>
      </c>
      <c r="L165" s="1" t="s">
        <v>18</v>
      </c>
      <c r="M165" s="1" t="s">
        <v>24</v>
      </c>
      <c r="N165" s="1" t="s">
        <v>41</v>
      </c>
      <c r="O165" s="1"/>
      <c r="P165" s="1" t="s">
        <v>21</v>
      </c>
      <c r="Q165" s="1" t="s">
        <v>66</v>
      </c>
      <c r="R165">
        <v>5</v>
      </c>
    </row>
    <row r="166" spans="1:18" x14ac:dyDescent="0.25">
      <c r="A166" s="1" t="s">
        <v>206</v>
      </c>
      <c r="B166" s="4">
        <v>46259</v>
      </c>
      <c r="C166" s="2">
        <v>0.83680555555555558</v>
      </c>
      <c r="D166">
        <v>7</v>
      </c>
      <c r="E166" s="3">
        <v>46259.836805555555</v>
      </c>
      <c r="F166" s="3">
        <v>46259.845833333333</v>
      </c>
      <c r="G166" s="3">
        <v>46259.869444444441</v>
      </c>
      <c r="H166" s="3">
        <v>46259.899305555555</v>
      </c>
      <c r="I166" s="3">
        <v>46259.901388888888</v>
      </c>
      <c r="J166" s="6">
        <f>IF(OR(NOT(ISNUMBER(Raw_Data[[#This Row],[Table_Vacated_Time]])),NOT(ISNUMBER(Raw_Data[[#This Row],[Seating_Time]])))," ",Raw_Data[[#This Row],[Table_Vacated_Time]]-Raw_Data[[#This Row],[Seating_Time]])</f>
        <v>6.4583333332848269E-2</v>
      </c>
      <c r="K166">
        <v>2519.86</v>
      </c>
      <c r="L166" s="1" t="s">
        <v>28</v>
      </c>
      <c r="M166" s="1" t="s">
        <v>44</v>
      </c>
      <c r="N166" s="1" t="s">
        <v>41</v>
      </c>
      <c r="O166" s="1" t="s">
        <v>278</v>
      </c>
      <c r="P166" s="1" t="s">
        <v>34</v>
      </c>
      <c r="Q166" s="1" t="s">
        <v>44</v>
      </c>
      <c r="R166">
        <v>15</v>
      </c>
    </row>
    <row r="167" spans="1:18" x14ac:dyDescent="0.25">
      <c r="A167" s="1" t="s">
        <v>207</v>
      </c>
      <c r="B167" s="4">
        <v>46240</v>
      </c>
      <c r="C167" s="2">
        <v>0.61111111111111116</v>
      </c>
      <c r="D167">
        <v>6</v>
      </c>
      <c r="E167" s="3">
        <v>46240.611111111109</v>
      </c>
      <c r="F167" s="3">
        <v>46240.621527777781</v>
      </c>
      <c r="G167" s="3">
        <v>46240.634027777778</v>
      </c>
      <c r="H167" s="3">
        <v>46240.679166666669</v>
      </c>
      <c r="I167" s="3">
        <v>46240.686805555553</v>
      </c>
      <c r="J167" s="6">
        <f>IF(OR(NOT(ISNUMBER(Raw_Data[[#This Row],[Table_Vacated_Time]])),NOT(ISNUMBER(Raw_Data[[#This Row],[Seating_Time]])))," ",Raw_Data[[#This Row],[Table_Vacated_Time]]-Raw_Data[[#This Row],[Seating_Time]])</f>
        <v>7.5694444443797693E-2</v>
      </c>
      <c r="K167">
        <v>2097.0300000000002</v>
      </c>
      <c r="L167" s="1" t="s">
        <v>18</v>
      </c>
      <c r="M167" s="1" t="s">
        <v>24</v>
      </c>
      <c r="N167" s="1" t="s">
        <v>33</v>
      </c>
      <c r="O167" s="1" t="s">
        <v>281</v>
      </c>
      <c r="P167" s="1" t="s">
        <v>21</v>
      </c>
      <c r="Q167" s="1" t="s">
        <v>39</v>
      </c>
      <c r="R167">
        <v>4</v>
      </c>
    </row>
    <row r="168" spans="1:18" x14ac:dyDescent="0.25">
      <c r="A168" s="1" t="s">
        <v>208</v>
      </c>
      <c r="B168" s="4">
        <v>46248</v>
      </c>
      <c r="C168" s="2">
        <v>0.79166666666666663</v>
      </c>
      <c r="D168">
        <v>7</v>
      </c>
      <c r="E168" s="3">
        <v>46248.791666666664</v>
      </c>
      <c r="F168" s="3">
        <v>46248.802083333336</v>
      </c>
      <c r="G168" s="3">
        <v>46248.827777777777</v>
      </c>
      <c r="H168" s="3">
        <v>46248.854861111111</v>
      </c>
      <c r="I168" s="3">
        <v>46248.863888888889</v>
      </c>
      <c r="J168" s="6">
        <f>IF(OR(NOT(ISNUMBER(Raw_Data[[#This Row],[Table_Vacated_Time]])),NOT(ISNUMBER(Raw_Data[[#This Row],[Seating_Time]])))," ",Raw_Data[[#This Row],[Table_Vacated_Time]]-Raw_Data[[#This Row],[Seating_Time]])</f>
        <v>7.2222222224809229E-2</v>
      </c>
      <c r="K168">
        <v>2197.92</v>
      </c>
      <c r="L168" s="1" t="s">
        <v>31</v>
      </c>
      <c r="M168" s="1" t="s">
        <v>44</v>
      </c>
      <c r="N168" s="1" t="s">
        <v>41</v>
      </c>
      <c r="O168" s="1" t="s">
        <v>278</v>
      </c>
      <c r="P168" s="1" t="s">
        <v>21</v>
      </c>
      <c r="Q168" s="1" t="s">
        <v>53</v>
      </c>
      <c r="R168">
        <v>15</v>
      </c>
    </row>
    <row r="169" spans="1:18" x14ac:dyDescent="0.25">
      <c r="A169" s="1" t="s">
        <v>209</v>
      </c>
      <c r="B169" s="4">
        <v>46248</v>
      </c>
      <c r="C169" s="2">
        <v>0.58680555555555558</v>
      </c>
      <c r="D169">
        <v>7</v>
      </c>
      <c r="E169" s="3">
        <v>46248.586805555555</v>
      </c>
      <c r="F169" s="3">
        <v>46248.59097222222</v>
      </c>
      <c r="G169" s="3">
        <v>46248.609722222223</v>
      </c>
      <c r="H169" s="3">
        <v>46248.625</v>
      </c>
      <c r="I169" s="3">
        <v>46248.629166666666</v>
      </c>
      <c r="J169" s="6">
        <f>IF(OR(NOT(ISNUMBER(Raw_Data[[#This Row],[Table_Vacated_Time]])),NOT(ISNUMBER(Raw_Data[[#This Row],[Seating_Time]])))," ",Raw_Data[[#This Row],[Table_Vacated_Time]]-Raw_Data[[#This Row],[Seating_Time]])</f>
        <v>4.2361111110949423E-2</v>
      </c>
      <c r="K169">
        <v>3033.24</v>
      </c>
      <c r="L169" s="1" t="s">
        <v>18</v>
      </c>
      <c r="M169" s="1" t="s">
        <v>38</v>
      </c>
      <c r="N169" s="1" t="s">
        <v>25</v>
      </c>
      <c r="O169" s="1" t="s">
        <v>281</v>
      </c>
      <c r="P169" s="1" t="s">
        <v>29</v>
      </c>
      <c r="Q169" s="1" t="s">
        <v>81</v>
      </c>
      <c r="R169">
        <v>2</v>
      </c>
    </row>
    <row r="170" spans="1:18" x14ac:dyDescent="0.25">
      <c r="A170" s="1" t="s">
        <v>210</v>
      </c>
      <c r="B170" s="4">
        <v>46264</v>
      </c>
      <c r="C170" s="2">
        <v>0.89583333333333337</v>
      </c>
      <c r="D170">
        <v>2</v>
      </c>
      <c r="E170" s="3">
        <v>46264.895833333336</v>
      </c>
      <c r="F170" s="3">
        <v>46264.900694444441</v>
      </c>
      <c r="G170" s="3">
        <v>46264.92291666667</v>
      </c>
      <c r="H170" s="3">
        <v>46264.95208333333</v>
      </c>
      <c r="I170" s="3">
        <v>46264.95416666667</v>
      </c>
      <c r="J170" s="6">
        <f>IF(OR(NOT(ISNUMBER(Raw_Data[[#This Row],[Table_Vacated_Time]])),NOT(ISNUMBER(Raw_Data[[#This Row],[Seating_Time]])))," ",Raw_Data[[#This Row],[Table_Vacated_Time]]-Raw_Data[[#This Row],[Seating_Time]])</f>
        <v>5.8333333334303461E-2</v>
      </c>
      <c r="K170">
        <v>1255.04</v>
      </c>
      <c r="L170" s="1" t="s">
        <v>18</v>
      </c>
      <c r="M170" s="1" t="s">
        <v>38</v>
      </c>
      <c r="N170" s="1" t="s">
        <v>41</v>
      </c>
      <c r="O170" s="1"/>
      <c r="P170" s="1" t="s">
        <v>21</v>
      </c>
      <c r="Q170" s="1" t="s">
        <v>81</v>
      </c>
      <c r="R170">
        <v>18</v>
      </c>
    </row>
    <row r="171" spans="1:18" x14ac:dyDescent="0.25">
      <c r="A171" s="1" t="s">
        <v>211</v>
      </c>
      <c r="B171" s="4">
        <v>46235</v>
      </c>
      <c r="C171" s="2">
        <v>0.84722222222222221</v>
      </c>
      <c r="D171">
        <v>6</v>
      </c>
      <c r="E171" s="3">
        <v>46235.847222222219</v>
      </c>
      <c r="F171" s="3">
        <v>46235.854861111111</v>
      </c>
      <c r="G171" s="3">
        <v>46235.875</v>
      </c>
      <c r="H171" s="3">
        <v>46235.905555555553</v>
      </c>
      <c r="I171" s="3">
        <v>46235.915972222225</v>
      </c>
      <c r="J171" s="6">
        <f>IF(OR(NOT(ISNUMBER(Raw_Data[[#This Row],[Table_Vacated_Time]])),NOT(ISNUMBER(Raw_Data[[#This Row],[Seating_Time]])))," ",Raw_Data[[#This Row],[Table_Vacated_Time]]-Raw_Data[[#This Row],[Seating_Time]])</f>
        <v>6.8750000005820766E-2</v>
      </c>
      <c r="K171">
        <v>1455.45</v>
      </c>
      <c r="L171" s="1" t="s">
        <v>28</v>
      </c>
      <c r="M171" s="1" t="s">
        <v>22</v>
      </c>
      <c r="N171" s="1" t="s">
        <v>41</v>
      </c>
      <c r="O171" s="1" t="s">
        <v>280</v>
      </c>
      <c r="P171" s="1" t="s">
        <v>21</v>
      </c>
      <c r="Q171" s="1" t="s">
        <v>48</v>
      </c>
      <c r="R171">
        <v>18</v>
      </c>
    </row>
    <row r="172" spans="1:18" x14ac:dyDescent="0.25">
      <c r="A172" s="1" t="s">
        <v>212</v>
      </c>
      <c r="B172" s="4">
        <v>46259</v>
      </c>
      <c r="C172" s="2">
        <v>0.53472222222222221</v>
      </c>
      <c r="D172">
        <v>5</v>
      </c>
      <c r="E172" s="3">
        <v>46259.534722222219</v>
      </c>
      <c r="F172" s="3">
        <v>46259.546527777777</v>
      </c>
      <c r="G172" s="3">
        <v>46259.554861111108</v>
      </c>
      <c r="H172" s="3">
        <v>46259.57916666667</v>
      </c>
      <c r="I172" s="3">
        <v>46259.582638888889</v>
      </c>
      <c r="J172" s="6">
        <f>IF(OR(NOT(ISNUMBER(Raw_Data[[#This Row],[Table_Vacated_Time]])),NOT(ISNUMBER(Raw_Data[[#This Row],[Seating_Time]])))," ",Raw_Data[[#This Row],[Table_Vacated_Time]]-Raw_Data[[#This Row],[Seating_Time]])</f>
        <v>4.7916666670062114E-2</v>
      </c>
      <c r="K172">
        <v>1134.69</v>
      </c>
      <c r="L172" s="1" t="s">
        <v>18</v>
      </c>
      <c r="M172" s="1" t="s">
        <v>44</v>
      </c>
      <c r="N172" s="1" t="s">
        <v>20</v>
      </c>
      <c r="O172" s="1" t="s">
        <v>278</v>
      </c>
      <c r="P172" s="1" t="s">
        <v>34</v>
      </c>
      <c r="Q172" s="1" t="s">
        <v>48</v>
      </c>
      <c r="R172">
        <v>20</v>
      </c>
    </row>
    <row r="173" spans="1:18" x14ac:dyDescent="0.25">
      <c r="A173" s="1" t="s">
        <v>213</v>
      </c>
      <c r="B173" s="4">
        <v>46262</v>
      </c>
      <c r="C173" s="2">
        <v>0.49652777777777779</v>
      </c>
      <c r="D173">
        <v>1</v>
      </c>
      <c r="E173" s="3">
        <v>46262.496527777781</v>
      </c>
      <c r="F173" s="3">
        <v>46262.504861111112</v>
      </c>
      <c r="G173" s="3">
        <v>46262.518055555556</v>
      </c>
      <c r="H173" s="3">
        <v>46262.555555555555</v>
      </c>
      <c r="I173" s="3">
        <v>46262.559027777781</v>
      </c>
      <c r="J173" s="6">
        <f>IF(OR(NOT(ISNUMBER(Raw_Data[[#This Row],[Table_Vacated_Time]])),NOT(ISNUMBER(Raw_Data[[#This Row],[Seating_Time]])))," ",Raw_Data[[#This Row],[Table_Vacated_Time]]-Raw_Data[[#This Row],[Seating_Time]])</f>
        <v>6.25E-2</v>
      </c>
      <c r="K173">
        <v>821.3</v>
      </c>
      <c r="L173" s="1" t="s">
        <v>28</v>
      </c>
      <c r="M173" s="1" t="s">
        <v>47</v>
      </c>
      <c r="N173" s="1" t="s">
        <v>25</v>
      </c>
      <c r="O173" s="1" t="s">
        <v>279</v>
      </c>
      <c r="P173" s="1" t="s">
        <v>34</v>
      </c>
      <c r="Q173" s="1" t="s">
        <v>92</v>
      </c>
      <c r="R173">
        <v>13</v>
      </c>
    </row>
    <row r="174" spans="1:18" x14ac:dyDescent="0.25">
      <c r="A174" s="1" t="s">
        <v>214</v>
      </c>
      <c r="B174" s="4">
        <v>46245</v>
      </c>
      <c r="C174" s="2">
        <v>0.82638888888888884</v>
      </c>
      <c r="D174">
        <v>4</v>
      </c>
      <c r="E174" s="3">
        <v>46245.826388888891</v>
      </c>
      <c r="F174" s="3">
        <v>46245.832638888889</v>
      </c>
      <c r="G174" s="3">
        <v>46245.84375</v>
      </c>
      <c r="H174" s="3">
        <v>46245.886805555558</v>
      </c>
      <c r="I174" s="3">
        <v>46245.893750000003</v>
      </c>
      <c r="J174" s="6">
        <f>IF(OR(NOT(ISNUMBER(Raw_Data[[#This Row],[Table_Vacated_Time]])),NOT(ISNUMBER(Raw_Data[[#This Row],[Seating_Time]])))," ",Raw_Data[[#This Row],[Table_Vacated_Time]]-Raw_Data[[#This Row],[Seating_Time]])</f>
        <v>6.7361111112404615E-2</v>
      </c>
      <c r="K174">
        <v>1587.59</v>
      </c>
      <c r="L174" s="1" t="s">
        <v>31</v>
      </c>
      <c r="M174" s="1" t="s">
        <v>59</v>
      </c>
      <c r="N174" s="1" t="s">
        <v>33</v>
      </c>
      <c r="O174" s="1" t="s">
        <v>278</v>
      </c>
      <c r="P174" s="1" t="s">
        <v>34</v>
      </c>
      <c r="Q174" s="1" t="s">
        <v>48</v>
      </c>
      <c r="R174">
        <v>8</v>
      </c>
    </row>
    <row r="175" spans="1:18" x14ac:dyDescent="0.25">
      <c r="A175" s="1" t="s">
        <v>215</v>
      </c>
      <c r="B175" s="4">
        <v>46264</v>
      </c>
      <c r="C175" s="2">
        <v>0.57638888888888884</v>
      </c>
      <c r="D175">
        <v>5</v>
      </c>
      <c r="E175" s="3">
        <v>46264.576388888891</v>
      </c>
      <c r="F175" s="3">
        <v>46264.584722222222</v>
      </c>
      <c r="G175" s="3">
        <v>46264.59375</v>
      </c>
      <c r="H175" s="3">
        <v>46264.622916666667</v>
      </c>
      <c r="I175" s="3">
        <v>46264.631249999999</v>
      </c>
      <c r="J175" s="6">
        <f>IF(OR(NOT(ISNUMBER(Raw_Data[[#This Row],[Table_Vacated_Time]])),NOT(ISNUMBER(Raw_Data[[#This Row],[Seating_Time]])))," ",Raw_Data[[#This Row],[Table_Vacated_Time]]-Raw_Data[[#This Row],[Seating_Time]])</f>
        <v>5.486111110803904E-2</v>
      </c>
      <c r="K175">
        <v>1937.63</v>
      </c>
      <c r="L175" s="1" t="s">
        <v>18</v>
      </c>
      <c r="M175" s="1" t="s">
        <v>22</v>
      </c>
      <c r="N175" s="1" t="s">
        <v>20</v>
      </c>
      <c r="O175" s="1" t="s">
        <v>281</v>
      </c>
      <c r="P175" s="1" t="s">
        <v>21</v>
      </c>
      <c r="Q175" s="1" t="s">
        <v>36</v>
      </c>
      <c r="R175">
        <v>18</v>
      </c>
    </row>
    <row r="176" spans="1:18" x14ac:dyDescent="0.25">
      <c r="A176" s="1" t="s">
        <v>216</v>
      </c>
      <c r="B176" s="4">
        <v>46247</v>
      </c>
      <c r="C176" s="2">
        <v>0.56944444444444442</v>
      </c>
      <c r="D176">
        <v>6</v>
      </c>
      <c r="E176" s="3">
        <v>46247.569444444445</v>
      </c>
      <c r="F176" s="3">
        <v>46247.581944444442</v>
      </c>
      <c r="G176" s="3">
        <v>46247.595138888886</v>
      </c>
      <c r="H176" s="3">
        <v>46247.62222222222</v>
      </c>
      <c r="I176" s="3">
        <v>46247.632638888892</v>
      </c>
      <c r="J176" s="6">
        <f>IF(OR(NOT(ISNUMBER(Raw_Data[[#This Row],[Table_Vacated_Time]])),NOT(ISNUMBER(Raw_Data[[#This Row],[Seating_Time]])))," ",Raw_Data[[#This Row],[Table_Vacated_Time]]-Raw_Data[[#This Row],[Seating_Time]])</f>
        <v>6.3194444446708076E-2</v>
      </c>
      <c r="K176">
        <v>2022.18</v>
      </c>
      <c r="L176" s="1" t="s">
        <v>28</v>
      </c>
      <c r="M176" s="1" t="s">
        <v>44</v>
      </c>
      <c r="N176" s="1" t="s">
        <v>20</v>
      </c>
      <c r="O176" s="1" t="s">
        <v>281</v>
      </c>
      <c r="P176" s="1" t="s">
        <v>34</v>
      </c>
      <c r="Q176" s="1" t="s">
        <v>39</v>
      </c>
      <c r="R176">
        <v>8</v>
      </c>
    </row>
    <row r="177" spans="1:18" x14ac:dyDescent="0.25">
      <c r="A177" s="1" t="s">
        <v>217</v>
      </c>
      <c r="B177" s="4">
        <v>46239</v>
      </c>
      <c r="C177" s="2">
        <v>0.76388888888888884</v>
      </c>
      <c r="D177">
        <v>3</v>
      </c>
      <c r="E177" s="3">
        <v>46239.763888888891</v>
      </c>
      <c r="F177" s="3">
        <v>46239.774305555555</v>
      </c>
      <c r="G177" s="3">
        <v>46239.78402777778</v>
      </c>
      <c r="H177" s="3">
        <v>46239.817361111112</v>
      </c>
      <c r="I177" s="3">
        <v>46239.827777777777</v>
      </c>
      <c r="J177" s="6">
        <f>IF(OR(NOT(ISNUMBER(Raw_Data[[#This Row],[Table_Vacated_Time]])),NOT(ISNUMBER(Raw_Data[[#This Row],[Seating_Time]])))," ",Raw_Data[[#This Row],[Table_Vacated_Time]]-Raw_Data[[#This Row],[Seating_Time]])</f>
        <v>6.3888888886140194E-2</v>
      </c>
      <c r="K177">
        <v>1964.95</v>
      </c>
      <c r="L177" s="1" t="s">
        <v>18</v>
      </c>
      <c r="M177" s="1" t="s">
        <v>32</v>
      </c>
      <c r="N177" s="1" t="s">
        <v>33</v>
      </c>
      <c r="O177" s="1" t="s">
        <v>280</v>
      </c>
      <c r="P177" s="1" t="s">
        <v>29</v>
      </c>
      <c r="Q177" s="1" t="s">
        <v>66</v>
      </c>
      <c r="R177">
        <v>11</v>
      </c>
    </row>
    <row r="178" spans="1:18" x14ac:dyDescent="0.25">
      <c r="A178" s="1" t="s">
        <v>218</v>
      </c>
      <c r="B178" s="4">
        <v>46254</v>
      </c>
      <c r="C178" s="2">
        <v>0.83680555555555558</v>
      </c>
      <c r="D178">
        <v>3</v>
      </c>
      <c r="E178" s="3">
        <v>46254.836805555555</v>
      </c>
      <c r="F178" s="3">
        <v>46254.847916666666</v>
      </c>
      <c r="G178" s="3">
        <v>46254.870833333334</v>
      </c>
      <c r="H178" s="3">
        <v>46254.90902777778</v>
      </c>
      <c r="I178" s="3">
        <v>46254.912499999999</v>
      </c>
      <c r="J178" s="6">
        <f>IF(OR(NOT(ISNUMBER(Raw_Data[[#This Row],[Table_Vacated_Time]])),NOT(ISNUMBER(Raw_Data[[#This Row],[Seating_Time]])))," ",Raw_Data[[#This Row],[Table_Vacated_Time]]-Raw_Data[[#This Row],[Seating_Time]])</f>
        <v>7.5694444443797693E-2</v>
      </c>
      <c r="K178">
        <v>1517.15</v>
      </c>
      <c r="L178" s="1" t="s">
        <v>31</v>
      </c>
      <c r="M178" s="1" t="s">
        <v>59</v>
      </c>
      <c r="N178" s="1" t="s">
        <v>33</v>
      </c>
      <c r="O178" s="1" t="s">
        <v>279</v>
      </c>
      <c r="P178" s="1" t="s">
        <v>21</v>
      </c>
      <c r="Q178" s="1" t="s">
        <v>48</v>
      </c>
      <c r="R178">
        <v>19</v>
      </c>
    </row>
    <row r="179" spans="1:18" x14ac:dyDescent="0.25">
      <c r="A179" s="1" t="s">
        <v>219</v>
      </c>
      <c r="B179" s="4">
        <v>46238</v>
      </c>
      <c r="C179" s="2">
        <v>0.85763888888888884</v>
      </c>
      <c r="D179">
        <v>3</v>
      </c>
      <c r="E179" s="3">
        <v>46238.857638888891</v>
      </c>
      <c r="F179" s="3">
        <v>46238.868750000001</v>
      </c>
      <c r="G179" s="3">
        <v>46238.881249999999</v>
      </c>
      <c r="H179" s="3">
        <v>46238.912499999999</v>
      </c>
      <c r="I179" s="3">
        <v>46238.915972222225</v>
      </c>
      <c r="J179" s="6">
        <f>IF(OR(NOT(ISNUMBER(Raw_Data[[#This Row],[Table_Vacated_Time]])),NOT(ISNUMBER(Raw_Data[[#This Row],[Seating_Time]])))," ",Raw_Data[[#This Row],[Table_Vacated_Time]]-Raw_Data[[#This Row],[Seating_Time]])</f>
        <v>5.8333333334303461E-2</v>
      </c>
      <c r="K179">
        <v>2309.44</v>
      </c>
      <c r="L179" s="1" t="s">
        <v>31</v>
      </c>
      <c r="M179" s="1" t="s">
        <v>38</v>
      </c>
      <c r="N179" s="1" t="s">
        <v>20</v>
      </c>
      <c r="O179" s="1" t="s">
        <v>278</v>
      </c>
      <c r="P179" s="1" t="s">
        <v>34</v>
      </c>
      <c r="Q179" s="1" t="s">
        <v>220</v>
      </c>
      <c r="R179">
        <v>20</v>
      </c>
    </row>
    <row r="180" spans="1:18" x14ac:dyDescent="0.25">
      <c r="A180" s="1" t="s">
        <v>221</v>
      </c>
      <c r="B180" s="4">
        <v>46244</v>
      </c>
      <c r="C180" s="2">
        <v>0.56944444444444442</v>
      </c>
      <c r="D180">
        <v>6</v>
      </c>
      <c r="E180" s="3">
        <v>46244.569444444445</v>
      </c>
      <c r="F180" s="3">
        <v>46244.573611111111</v>
      </c>
      <c r="G180" s="3">
        <v>46244.599305555559</v>
      </c>
      <c r="H180" s="3">
        <v>46244.634027777778</v>
      </c>
      <c r="I180" s="3">
        <v>46244.643750000003</v>
      </c>
      <c r="J180" s="6">
        <f>IF(OR(NOT(ISNUMBER(Raw_Data[[#This Row],[Table_Vacated_Time]])),NOT(ISNUMBER(Raw_Data[[#This Row],[Seating_Time]])))," ",Raw_Data[[#This Row],[Table_Vacated_Time]]-Raw_Data[[#This Row],[Seating_Time]])</f>
        <v>7.4305555557657499E-2</v>
      </c>
      <c r="K180">
        <v>1724.44</v>
      </c>
      <c r="L180" s="1" t="s">
        <v>18</v>
      </c>
      <c r="M180" s="1" t="s">
        <v>22</v>
      </c>
      <c r="N180" s="1" t="s">
        <v>25</v>
      </c>
      <c r="O180" s="1" t="s">
        <v>281</v>
      </c>
      <c r="P180" s="1" t="s">
        <v>21</v>
      </c>
      <c r="Q180" s="1" t="s">
        <v>92</v>
      </c>
      <c r="R180">
        <v>15</v>
      </c>
    </row>
    <row r="181" spans="1:18" x14ac:dyDescent="0.25">
      <c r="A181" s="1" t="s">
        <v>222</v>
      </c>
      <c r="B181" s="4">
        <v>46262</v>
      </c>
      <c r="C181" s="2">
        <v>0.54861111111111116</v>
      </c>
      <c r="D181">
        <v>1</v>
      </c>
      <c r="E181" s="3">
        <v>46262.548611111109</v>
      </c>
      <c r="F181" s="3">
        <v>46262.557638888888</v>
      </c>
      <c r="G181" s="3">
        <v>46262.578472222223</v>
      </c>
      <c r="H181" s="3">
        <v>46262.618055555555</v>
      </c>
      <c r="I181" s="3">
        <v>46262.627083333333</v>
      </c>
      <c r="J181" s="6">
        <f>IF(OR(NOT(ISNUMBER(Raw_Data[[#This Row],[Table_Vacated_Time]])),NOT(ISNUMBER(Raw_Data[[#This Row],[Seating_Time]])))," ",Raw_Data[[#This Row],[Table_Vacated_Time]]-Raw_Data[[#This Row],[Seating_Time]])</f>
        <v>7.8472222223354038E-2</v>
      </c>
      <c r="K181">
        <v>2766.09</v>
      </c>
      <c r="L181" s="1" t="s">
        <v>18</v>
      </c>
      <c r="M181" s="1" t="s">
        <v>32</v>
      </c>
      <c r="N181" s="1" t="s">
        <v>25</v>
      </c>
      <c r="O181" s="1" t="s">
        <v>279</v>
      </c>
      <c r="P181" s="1" t="s">
        <v>29</v>
      </c>
      <c r="Q181" s="1" t="s">
        <v>92</v>
      </c>
      <c r="R181">
        <v>9</v>
      </c>
    </row>
    <row r="182" spans="1:18" x14ac:dyDescent="0.25">
      <c r="A182" s="1" t="s">
        <v>223</v>
      </c>
      <c r="B182" s="4">
        <v>46261</v>
      </c>
      <c r="C182" s="2">
        <v>0.56944444444444442</v>
      </c>
      <c r="D182">
        <v>4</v>
      </c>
      <c r="E182" s="3">
        <v>46261.569444444445</v>
      </c>
      <c r="F182" s="3">
        <v>46261.581250000003</v>
      </c>
      <c r="G182" s="3">
        <v>46261.607638888891</v>
      </c>
      <c r="H182" s="3">
        <v>46261.643055555556</v>
      </c>
      <c r="I182" s="3">
        <v>46261.652083333334</v>
      </c>
      <c r="J182" s="6">
        <f>IF(OR(NOT(ISNUMBER(Raw_Data[[#This Row],[Table_Vacated_Time]])),NOT(ISNUMBER(Raw_Data[[#This Row],[Seating_Time]])))," ",Raw_Data[[#This Row],[Table_Vacated_Time]]-Raw_Data[[#This Row],[Seating_Time]])</f>
        <v>8.2638888889050577E-2</v>
      </c>
      <c r="K182">
        <v>1974.12</v>
      </c>
      <c r="L182" s="1" t="s">
        <v>28</v>
      </c>
      <c r="M182" s="1" t="s">
        <v>24</v>
      </c>
      <c r="N182" s="1" t="s">
        <v>41</v>
      </c>
      <c r="O182" s="1"/>
      <c r="P182" s="1" t="s">
        <v>29</v>
      </c>
      <c r="Q182" s="1" t="s">
        <v>44</v>
      </c>
      <c r="R182">
        <v>9</v>
      </c>
    </row>
    <row r="183" spans="1:18" x14ac:dyDescent="0.25">
      <c r="A183" s="1" t="s">
        <v>224</v>
      </c>
      <c r="B183" s="4">
        <v>46239</v>
      </c>
      <c r="C183" s="2">
        <v>0.85763888888888884</v>
      </c>
      <c r="D183">
        <v>2</v>
      </c>
      <c r="E183" s="3">
        <v>46239.857638888891</v>
      </c>
      <c r="F183" s="3">
        <v>46239.868055555555</v>
      </c>
      <c r="G183" s="3">
        <v>46239.877083333333</v>
      </c>
      <c r="H183" s="3">
        <v>46239.913888888892</v>
      </c>
      <c r="I183" s="3">
        <v>46239.915277777778</v>
      </c>
      <c r="J183" s="6">
        <f>IF(OR(NOT(ISNUMBER(Raw_Data[[#This Row],[Table_Vacated_Time]])),NOT(ISNUMBER(Raw_Data[[#This Row],[Seating_Time]])))," ",Raw_Data[[#This Row],[Table_Vacated_Time]]-Raw_Data[[#This Row],[Seating_Time]])</f>
        <v>5.7638888887595385E-2</v>
      </c>
      <c r="K183">
        <v>918.56</v>
      </c>
      <c r="L183" s="1" t="s">
        <v>28</v>
      </c>
      <c r="M183" s="1" t="s">
        <v>44</v>
      </c>
      <c r="N183" s="1" t="s">
        <v>33</v>
      </c>
      <c r="O183" s="1" t="s">
        <v>281</v>
      </c>
      <c r="P183" s="1" t="s">
        <v>21</v>
      </c>
      <c r="Q183" s="1" t="s">
        <v>81</v>
      </c>
      <c r="R183">
        <v>18</v>
      </c>
    </row>
    <row r="184" spans="1:18" x14ac:dyDescent="0.25">
      <c r="A184" s="1" t="s">
        <v>225</v>
      </c>
      <c r="B184" s="4">
        <v>46255</v>
      </c>
      <c r="C184" s="2">
        <v>0.57986111111111116</v>
      </c>
      <c r="D184">
        <v>2</v>
      </c>
      <c r="E184" s="3">
        <v>46255.579861111109</v>
      </c>
      <c r="F184" s="3">
        <v>46255.585416666669</v>
      </c>
      <c r="G184" s="3">
        <v>46255.604861111111</v>
      </c>
      <c r="H184" s="3">
        <v>46255.638888888891</v>
      </c>
      <c r="I184" s="3">
        <v>46255.643750000003</v>
      </c>
      <c r="J184" s="6">
        <f>IF(OR(NOT(ISNUMBER(Raw_Data[[#This Row],[Table_Vacated_Time]])),NOT(ISNUMBER(Raw_Data[[#This Row],[Seating_Time]])))," ",Raw_Data[[#This Row],[Table_Vacated_Time]]-Raw_Data[[#This Row],[Seating_Time]])</f>
        <v>6.3888888893416151E-2</v>
      </c>
      <c r="K184">
        <v>720.91</v>
      </c>
      <c r="L184" s="1" t="s">
        <v>31</v>
      </c>
      <c r="M184" s="1" t="s">
        <v>24</v>
      </c>
      <c r="N184" s="1" t="s">
        <v>20</v>
      </c>
      <c r="O184" s="1" t="s">
        <v>277</v>
      </c>
      <c r="P184" s="1" t="s">
        <v>21</v>
      </c>
      <c r="Q184" s="1" t="s">
        <v>39</v>
      </c>
      <c r="R184">
        <v>1</v>
      </c>
    </row>
    <row r="185" spans="1:18" x14ac:dyDescent="0.25">
      <c r="A185" s="1" t="s">
        <v>226</v>
      </c>
      <c r="B185" s="4">
        <v>46252</v>
      </c>
      <c r="C185" s="2">
        <v>0.75</v>
      </c>
      <c r="D185">
        <v>7</v>
      </c>
      <c r="E185" s="3">
        <v>46252.75</v>
      </c>
      <c r="F185" s="3">
        <v>46252.759027777778</v>
      </c>
      <c r="G185" s="3">
        <v>46252.773611111108</v>
      </c>
      <c r="H185" s="3">
        <v>46252.788194444445</v>
      </c>
      <c r="I185" s="3">
        <v>46252.795138888891</v>
      </c>
      <c r="J185" s="6">
        <f>IF(OR(NOT(ISNUMBER(Raw_Data[[#This Row],[Table_Vacated_Time]])),NOT(ISNUMBER(Raw_Data[[#This Row],[Seating_Time]])))," ",Raw_Data[[#This Row],[Table_Vacated_Time]]-Raw_Data[[#This Row],[Seating_Time]])</f>
        <v>4.5138888890505768E-2</v>
      </c>
      <c r="K185">
        <v>2255.36</v>
      </c>
      <c r="L185" s="1" t="s">
        <v>31</v>
      </c>
      <c r="M185" s="1" t="s">
        <v>38</v>
      </c>
      <c r="N185" s="1" t="s">
        <v>41</v>
      </c>
      <c r="O185" s="1" t="s">
        <v>277</v>
      </c>
      <c r="P185" s="1" t="s">
        <v>21</v>
      </c>
      <c r="Q185" s="1" t="s">
        <v>39</v>
      </c>
      <c r="R185">
        <v>9</v>
      </c>
    </row>
    <row r="186" spans="1:18" x14ac:dyDescent="0.25">
      <c r="A186" s="1" t="s">
        <v>227</v>
      </c>
      <c r="B186" s="4">
        <v>46239</v>
      </c>
      <c r="C186" s="2">
        <v>0.57291666666666663</v>
      </c>
      <c r="D186">
        <v>7</v>
      </c>
      <c r="E186" s="3">
        <v>46239.572916666664</v>
      </c>
      <c r="F186" s="3">
        <v>46239.585416666669</v>
      </c>
      <c r="G186" s="3">
        <v>46239.601388888892</v>
      </c>
      <c r="H186" s="3">
        <v>46239.627083333333</v>
      </c>
      <c r="I186" s="3">
        <v>46239.636805555558</v>
      </c>
      <c r="J186" s="6">
        <f>IF(OR(NOT(ISNUMBER(Raw_Data[[#This Row],[Table_Vacated_Time]])),NOT(ISNUMBER(Raw_Data[[#This Row],[Seating_Time]])))," ",Raw_Data[[#This Row],[Table_Vacated_Time]]-Raw_Data[[#This Row],[Seating_Time]])</f>
        <v>6.3888888893416151E-2</v>
      </c>
      <c r="K186">
        <v>1867.1</v>
      </c>
      <c r="L186" s="1" t="s">
        <v>31</v>
      </c>
      <c r="M186" s="1" t="s">
        <v>38</v>
      </c>
      <c r="N186" s="1" t="s">
        <v>20</v>
      </c>
      <c r="O186" s="1" t="s">
        <v>278</v>
      </c>
      <c r="P186" s="1" t="s">
        <v>21</v>
      </c>
      <c r="Q186" s="1" t="s">
        <v>48</v>
      </c>
      <c r="R186">
        <v>9</v>
      </c>
    </row>
    <row r="187" spans="1:18" x14ac:dyDescent="0.25">
      <c r="A187" s="1" t="s">
        <v>228</v>
      </c>
      <c r="B187" s="4">
        <v>46242</v>
      </c>
      <c r="C187" s="2">
        <v>0.58680555555555558</v>
      </c>
      <c r="D187">
        <v>1</v>
      </c>
      <c r="E187" s="3">
        <v>46242.586805555555</v>
      </c>
      <c r="F187" s="3">
        <v>46242.594444444447</v>
      </c>
      <c r="G187" s="3">
        <v>46242.611111111109</v>
      </c>
      <c r="H187" s="3">
        <v>46242.64166666667</v>
      </c>
      <c r="I187" s="3">
        <v>46242.648611111108</v>
      </c>
      <c r="J187" s="6">
        <f>IF(OR(NOT(ISNUMBER(Raw_Data[[#This Row],[Table_Vacated_Time]])),NOT(ISNUMBER(Raw_Data[[#This Row],[Seating_Time]])))," ",Raw_Data[[#This Row],[Table_Vacated_Time]]-Raw_Data[[#This Row],[Seating_Time]])</f>
        <v>6.1805555553291924E-2</v>
      </c>
      <c r="K187">
        <v>1662.7</v>
      </c>
      <c r="L187" s="1" t="s">
        <v>31</v>
      </c>
      <c r="M187" s="1" t="s">
        <v>44</v>
      </c>
      <c r="N187" s="1" t="s">
        <v>41</v>
      </c>
      <c r="O187" s="1" t="s">
        <v>277</v>
      </c>
      <c r="P187" s="1" t="s">
        <v>29</v>
      </c>
      <c r="Q187" s="1" t="s">
        <v>81</v>
      </c>
      <c r="R187">
        <v>3</v>
      </c>
    </row>
    <row r="188" spans="1:18" x14ac:dyDescent="0.25">
      <c r="A188" s="1" t="s">
        <v>229</v>
      </c>
      <c r="B188" s="4">
        <v>46248</v>
      </c>
      <c r="C188" s="2">
        <v>0.85069444444444442</v>
      </c>
      <c r="D188">
        <v>8</v>
      </c>
      <c r="E188" s="3">
        <v>46248.850694444445</v>
      </c>
      <c r="F188" s="3">
        <v>46248.859722222223</v>
      </c>
      <c r="G188" s="3">
        <v>46248.868750000001</v>
      </c>
      <c r="H188" s="3">
        <v>46248.892361111109</v>
      </c>
      <c r="I188" s="3">
        <v>46248.895833333336</v>
      </c>
      <c r="J188" s="6">
        <f>IF(OR(NOT(ISNUMBER(Raw_Data[[#This Row],[Table_Vacated_Time]])),NOT(ISNUMBER(Raw_Data[[#This Row],[Seating_Time]])))," ",Raw_Data[[#This Row],[Table_Vacated_Time]]-Raw_Data[[#This Row],[Seating_Time]])</f>
        <v>4.5138888890505768E-2</v>
      </c>
      <c r="K188">
        <v>2370.2800000000002</v>
      </c>
      <c r="L188" s="1" t="s">
        <v>31</v>
      </c>
      <c r="M188" s="1" t="s">
        <v>24</v>
      </c>
      <c r="N188" s="1" t="s">
        <v>25</v>
      </c>
      <c r="O188" s="1" t="s">
        <v>277</v>
      </c>
      <c r="P188" s="1" t="s">
        <v>21</v>
      </c>
      <c r="Q188" s="1" t="s">
        <v>66</v>
      </c>
      <c r="R188">
        <v>4</v>
      </c>
    </row>
    <row r="189" spans="1:18" x14ac:dyDescent="0.25">
      <c r="A189" s="1" t="s">
        <v>230</v>
      </c>
      <c r="B189" s="4">
        <v>46264</v>
      </c>
      <c r="C189" s="2">
        <v>0.61111111111111116</v>
      </c>
      <c r="D189">
        <v>8</v>
      </c>
      <c r="E189" s="3">
        <v>46264.611111111109</v>
      </c>
      <c r="F189" s="3">
        <v>46264.615972222222</v>
      </c>
      <c r="G189" s="3">
        <v>46264.631249999999</v>
      </c>
      <c r="H189" s="3">
        <v>46264.645833333336</v>
      </c>
      <c r="I189" s="3">
        <v>46264.649305555555</v>
      </c>
      <c r="J189" s="6">
        <f>IF(OR(NOT(ISNUMBER(Raw_Data[[#This Row],[Table_Vacated_Time]])),NOT(ISNUMBER(Raw_Data[[#This Row],[Seating_Time]])))," ",Raw_Data[[#This Row],[Table_Vacated_Time]]-Raw_Data[[#This Row],[Seating_Time]])</f>
        <v>3.8194444445252884E-2</v>
      </c>
      <c r="K189">
        <v>2069.94</v>
      </c>
      <c r="L189" s="1" t="s">
        <v>31</v>
      </c>
      <c r="M189" s="1" t="s">
        <v>38</v>
      </c>
      <c r="N189" s="1" t="s">
        <v>33</v>
      </c>
      <c r="O189" s="1" t="s">
        <v>280</v>
      </c>
      <c r="P189" s="1" t="s">
        <v>21</v>
      </c>
      <c r="Q189" s="1" t="s">
        <v>92</v>
      </c>
      <c r="R189">
        <v>2</v>
      </c>
    </row>
    <row r="190" spans="1:18" x14ac:dyDescent="0.25">
      <c r="A190" s="1" t="s">
        <v>231</v>
      </c>
      <c r="B190" s="4">
        <v>46242</v>
      </c>
      <c r="C190" s="2">
        <v>0.8125</v>
      </c>
      <c r="D190">
        <v>7</v>
      </c>
      <c r="E190" s="3">
        <v>46242.8125</v>
      </c>
      <c r="F190" s="3">
        <v>46242.820138888892</v>
      </c>
      <c r="G190" s="3">
        <v>46242.845138888886</v>
      </c>
      <c r="H190" s="3">
        <v>46242.864583333336</v>
      </c>
      <c r="I190" s="3">
        <v>46242.874305555553</v>
      </c>
      <c r="J190" s="6">
        <f>IF(OR(NOT(ISNUMBER(Raw_Data[[#This Row],[Table_Vacated_Time]])),NOT(ISNUMBER(Raw_Data[[#This Row],[Seating_Time]])))," ",Raw_Data[[#This Row],[Table_Vacated_Time]]-Raw_Data[[#This Row],[Seating_Time]])</f>
        <v>6.1805555553291924E-2</v>
      </c>
      <c r="K190">
        <v>1524.26</v>
      </c>
      <c r="L190" s="1" t="s">
        <v>220</v>
      </c>
      <c r="M190" s="1" t="s">
        <v>19</v>
      </c>
      <c r="N190" s="1" t="s">
        <v>25</v>
      </c>
      <c r="O190" s="1" t="s">
        <v>277</v>
      </c>
      <c r="P190" s="1" t="s">
        <v>21</v>
      </c>
      <c r="Q190" s="1" t="s">
        <v>42</v>
      </c>
      <c r="R190">
        <v>11</v>
      </c>
    </row>
    <row r="191" spans="1:18" x14ac:dyDescent="0.25">
      <c r="A191" s="1" t="s">
        <v>232</v>
      </c>
      <c r="B191" s="4">
        <v>46242</v>
      </c>
      <c r="C191" s="2">
        <v>0.89236111111111116</v>
      </c>
      <c r="D191">
        <v>8</v>
      </c>
      <c r="E191" s="3">
        <v>46242.892361111109</v>
      </c>
      <c r="F191" s="3">
        <v>46242.902083333334</v>
      </c>
      <c r="G191" s="3">
        <v>46242.918749999997</v>
      </c>
      <c r="H191" s="3">
        <v>46242.946527777778</v>
      </c>
      <c r="I191" s="3">
        <v>46242.947916666664</v>
      </c>
      <c r="J191" s="6">
        <f>IF(OR(NOT(ISNUMBER(Raw_Data[[#This Row],[Table_Vacated_Time]])),NOT(ISNUMBER(Raw_Data[[#This Row],[Seating_Time]])))," ",Raw_Data[[#This Row],[Table_Vacated_Time]]-Raw_Data[[#This Row],[Seating_Time]])</f>
        <v>5.5555555554747116E-2</v>
      </c>
      <c r="K191">
        <v>1276.83</v>
      </c>
      <c r="L191" s="1" t="s">
        <v>28</v>
      </c>
      <c r="M191" s="1" t="s">
        <v>24</v>
      </c>
      <c r="N191" s="1" t="s">
        <v>41</v>
      </c>
      <c r="O191" s="1" t="s">
        <v>280</v>
      </c>
      <c r="P191" s="1" t="s">
        <v>34</v>
      </c>
      <c r="Q191" s="1" t="s">
        <v>42</v>
      </c>
      <c r="R191">
        <v>20</v>
      </c>
    </row>
    <row r="192" spans="1:18" x14ac:dyDescent="0.25">
      <c r="A192" s="1" t="s">
        <v>233</v>
      </c>
      <c r="B192" s="4">
        <v>46248</v>
      </c>
      <c r="C192" s="2">
        <v>0.57291666666666663</v>
      </c>
      <c r="D192">
        <v>5</v>
      </c>
      <c r="E192" s="3">
        <v>46248.572916666664</v>
      </c>
      <c r="F192" s="3">
        <v>46248.584722222222</v>
      </c>
      <c r="G192" s="3">
        <v>46248.606249999997</v>
      </c>
      <c r="H192" s="3">
        <v>46248.632638888892</v>
      </c>
      <c r="I192" s="3">
        <v>46248.642361111109</v>
      </c>
      <c r="J192" s="6">
        <f>IF(OR(NOT(ISNUMBER(Raw_Data[[#This Row],[Table_Vacated_Time]])),NOT(ISNUMBER(Raw_Data[[#This Row],[Seating_Time]])))," ",Raw_Data[[#This Row],[Table_Vacated_Time]]-Raw_Data[[#This Row],[Seating_Time]])</f>
        <v>6.9444444445252884E-2</v>
      </c>
      <c r="K192">
        <v>1504.42</v>
      </c>
      <c r="L192" s="1" t="s">
        <v>28</v>
      </c>
      <c r="M192" s="1" t="s">
        <v>19</v>
      </c>
      <c r="N192" s="1" t="s">
        <v>25</v>
      </c>
      <c r="O192" s="1" t="s">
        <v>279</v>
      </c>
      <c r="P192" s="1" t="s">
        <v>29</v>
      </c>
      <c r="Q192" s="1" t="s">
        <v>48</v>
      </c>
      <c r="R192">
        <v>3</v>
      </c>
    </row>
    <row r="193" spans="1:18" x14ac:dyDescent="0.25">
      <c r="A193" s="1" t="s">
        <v>234</v>
      </c>
      <c r="B193" s="4">
        <v>46260</v>
      </c>
      <c r="C193" s="2">
        <v>0.87152777777777779</v>
      </c>
      <c r="D193">
        <v>5</v>
      </c>
      <c r="E193" s="3">
        <v>46260.871527777781</v>
      </c>
      <c r="F193" s="3">
        <v>46260.878472222219</v>
      </c>
      <c r="G193" s="3">
        <v>46260.888888888891</v>
      </c>
      <c r="H193" s="3">
        <v>46260.90625</v>
      </c>
      <c r="I193" s="3">
        <v>46260.907638888886</v>
      </c>
      <c r="J193" s="6">
        <f>IF(OR(NOT(ISNUMBER(Raw_Data[[#This Row],[Table_Vacated_Time]])),NOT(ISNUMBER(Raw_Data[[#This Row],[Seating_Time]])))," ",Raw_Data[[#This Row],[Table_Vacated_Time]]-Raw_Data[[#This Row],[Seating_Time]])</f>
        <v>3.6111111105128657E-2</v>
      </c>
      <c r="K193">
        <v>2221.02</v>
      </c>
      <c r="L193" s="1" t="s">
        <v>28</v>
      </c>
      <c r="M193" s="1" t="s">
        <v>22</v>
      </c>
      <c r="N193" s="1" t="s">
        <v>25</v>
      </c>
      <c r="O193" s="1" t="s">
        <v>277</v>
      </c>
      <c r="P193" s="1" t="s">
        <v>21</v>
      </c>
      <c r="Q193" s="1" t="s">
        <v>22</v>
      </c>
      <c r="R193">
        <v>11</v>
      </c>
    </row>
    <row r="194" spans="1:18" x14ac:dyDescent="0.25">
      <c r="A194" s="1" t="s">
        <v>235</v>
      </c>
      <c r="B194" s="4">
        <v>46240</v>
      </c>
      <c r="C194" s="2">
        <v>0.81944444444444442</v>
      </c>
      <c r="D194">
        <v>7</v>
      </c>
      <c r="E194" s="3">
        <v>46240.819444444445</v>
      </c>
      <c r="F194" s="3">
        <v>46240.82708333333</v>
      </c>
      <c r="G194" s="3">
        <v>46240.837500000001</v>
      </c>
      <c r="H194" s="3">
        <v>46240.852083333331</v>
      </c>
      <c r="I194" s="3">
        <v>46240.854166666664</v>
      </c>
      <c r="J194" s="6">
        <f>IF(OR(NOT(ISNUMBER(Raw_Data[[#This Row],[Table_Vacated_Time]])),NOT(ISNUMBER(Raw_Data[[#This Row],[Seating_Time]])))," ",Raw_Data[[#This Row],[Table_Vacated_Time]]-Raw_Data[[#This Row],[Seating_Time]])</f>
        <v>3.4722222218988463E-2</v>
      </c>
      <c r="K194">
        <v>2107.75</v>
      </c>
      <c r="L194" s="1" t="s">
        <v>28</v>
      </c>
      <c r="M194" s="1" t="s">
        <v>22</v>
      </c>
      <c r="N194" s="1" t="s">
        <v>20</v>
      </c>
      <c r="O194" s="1" t="s">
        <v>277</v>
      </c>
      <c r="P194" s="1" t="s">
        <v>29</v>
      </c>
      <c r="Q194" s="1" t="s">
        <v>42</v>
      </c>
      <c r="R194">
        <v>17</v>
      </c>
    </row>
    <row r="195" spans="1:18" x14ac:dyDescent="0.25">
      <c r="A195" s="1" t="s">
        <v>236</v>
      </c>
      <c r="B195" s="4">
        <v>46247</v>
      </c>
      <c r="C195" s="2">
        <v>0.91319444444444442</v>
      </c>
      <c r="D195">
        <v>7</v>
      </c>
      <c r="E195" s="3">
        <v>46247.913194444445</v>
      </c>
      <c r="F195" s="3">
        <v>46247.92291666667</v>
      </c>
      <c r="G195" s="3">
        <v>46247.942361111112</v>
      </c>
      <c r="H195" s="3">
        <v>46247.963194444441</v>
      </c>
      <c r="I195" s="3">
        <v>46247.97152777778</v>
      </c>
      <c r="J195" s="6">
        <f>IF(OR(NOT(ISNUMBER(Raw_Data[[#This Row],[Table_Vacated_Time]])),NOT(ISNUMBER(Raw_Data[[#This Row],[Seating_Time]])))," ",Raw_Data[[#This Row],[Table_Vacated_Time]]-Raw_Data[[#This Row],[Seating_Time]])</f>
        <v>5.8333333334303461E-2</v>
      </c>
      <c r="K195">
        <v>1304.8399999999999</v>
      </c>
      <c r="L195" s="1" t="s">
        <v>18</v>
      </c>
      <c r="M195" s="1" t="s">
        <v>59</v>
      </c>
      <c r="N195" s="1" t="s">
        <v>25</v>
      </c>
      <c r="O195" s="1" t="s">
        <v>280</v>
      </c>
      <c r="P195" s="1" t="s">
        <v>29</v>
      </c>
      <c r="Q195" s="1" t="s">
        <v>44</v>
      </c>
      <c r="R195">
        <v>8</v>
      </c>
    </row>
    <row r="196" spans="1:18" x14ac:dyDescent="0.25">
      <c r="A196" s="1" t="s">
        <v>237</v>
      </c>
      <c r="B196" s="4">
        <v>46237</v>
      </c>
      <c r="C196" s="2">
        <v>0.55555555555555558</v>
      </c>
      <c r="D196">
        <v>5</v>
      </c>
      <c r="E196" s="3">
        <v>46237.555555555555</v>
      </c>
      <c r="F196" s="3">
        <v>46237.563888888886</v>
      </c>
      <c r="G196" s="3">
        <v>46237.589583333334</v>
      </c>
      <c r="H196" s="3">
        <v>46237.606249999997</v>
      </c>
      <c r="I196" s="3">
        <v>46237.611111111109</v>
      </c>
      <c r="J196" s="6">
        <f>IF(OR(NOT(ISNUMBER(Raw_Data[[#This Row],[Table_Vacated_Time]])),NOT(ISNUMBER(Raw_Data[[#This Row],[Seating_Time]])))," ",Raw_Data[[#This Row],[Table_Vacated_Time]]-Raw_Data[[#This Row],[Seating_Time]])</f>
        <v>5.5555555554747116E-2</v>
      </c>
      <c r="K196">
        <v>1845.25</v>
      </c>
      <c r="L196" s="1" t="s">
        <v>18</v>
      </c>
      <c r="M196" s="1" t="s">
        <v>24</v>
      </c>
      <c r="N196" s="1" t="s">
        <v>41</v>
      </c>
      <c r="O196" s="1" t="s">
        <v>281</v>
      </c>
      <c r="P196" s="1" t="s">
        <v>21</v>
      </c>
      <c r="Q196" s="1" t="s">
        <v>44</v>
      </c>
      <c r="R196">
        <v>10</v>
      </c>
    </row>
    <row r="197" spans="1:18" x14ac:dyDescent="0.25">
      <c r="A197" s="1" t="s">
        <v>238</v>
      </c>
      <c r="B197" s="4">
        <v>46244</v>
      </c>
      <c r="C197" s="2">
        <v>0.47916666666666669</v>
      </c>
      <c r="D197">
        <v>4</v>
      </c>
      <c r="E197" s="3">
        <v>46244.479166666664</v>
      </c>
      <c r="F197" s="3">
        <v>46244.486805555556</v>
      </c>
      <c r="G197" s="3">
        <v>46244.512499999997</v>
      </c>
      <c r="H197" s="3">
        <v>46244.540972222225</v>
      </c>
      <c r="I197" s="3">
        <v>46244.547222222223</v>
      </c>
      <c r="J197" s="6">
        <f>IF(OR(NOT(ISNUMBER(Raw_Data[[#This Row],[Table_Vacated_Time]])),NOT(ISNUMBER(Raw_Data[[#This Row],[Seating_Time]])))," ",Raw_Data[[#This Row],[Table_Vacated_Time]]-Raw_Data[[#This Row],[Seating_Time]])</f>
        <v>6.805555555911269E-2</v>
      </c>
      <c r="K197">
        <v>1841.92</v>
      </c>
      <c r="L197" s="1" t="s">
        <v>31</v>
      </c>
      <c r="M197" s="1" t="s">
        <v>47</v>
      </c>
      <c r="N197" s="1" t="s">
        <v>25</v>
      </c>
      <c r="O197" s="1" t="s">
        <v>280</v>
      </c>
      <c r="P197" s="1" t="s">
        <v>34</v>
      </c>
      <c r="Q197" s="1" t="s">
        <v>48</v>
      </c>
      <c r="R197">
        <v>20</v>
      </c>
    </row>
    <row r="198" spans="1:18" x14ac:dyDescent="0.25">
      <c r="A198" s="1" t="s">
        <v>239</v>
      </c>
      <c r="B198" s="4">
        <v>46241</v>
      </c>
      <c r="C198" s="2">
        <v>0.79861111111111116</v>
      </c>
      <c r="D198">
        <v>5</v>
      </c>
      <c r="E198" s="3">
        <v>46241.798611111109</v>
      </c>
      <c r="F198" s="3">
        <v>46241.804861111108</v>
      </c>
      <c r="G198" s="3">
        <v>46241.82916666667</v>
      </c>
      <c r="H198" s="3">
        <v>46241.873611111114</v>
      </c>
      <c r="I198" s="3">
        <v>46241.881944444445</v>
      </c>
      <c r="J198" s="6">
        <f>IF(OR(NOT(ISNUMBER(Raw_Data[[#This Row],[Table_Vacated_Time]])),NOT(ISNUMBER(Raw_Data[[#This Row],[Seating_Time]])))," ",Raw_Data[[#This Row],[Table_Vacated_Time]]-Raw_Data[[#This Row],[Seating_Time]])</f>
        <v>8.3333333335758653E-2</v>
      </c>
      <c r="K198">
        <v>1263.8800000000001</v>
      </c>
      <c r="L198" s="1" t="s">
        <v>18</v>
      </c>
      <c r="M198" s="1" t="s">
        <v>32</v>
      </c>
      <c r="N198" s="1" t="s">
        <v>25</v>
      </c>
      <c r="O198" s="1" t="s">
        <v>281</v>
      </c>
      <c r="P198" s="1" t="s">
        <v>29</v>
      </c>
      <c r="Q198" s="1" t="s">
        <v>81</v>
      </c>
      <c r="R198">
        <v>11</v>
      </c>
    </row>
    <row r="199" spans="1:18" x14ac:dyDescent="0.25">
      <c r="A199" s="1" t="s">
        <v>240</v>
      </c>
      <c r="B199" s="4">
        <v>46260</v>
      </c>
      <c r="C199" s="2">
        <v>0.75347222222222221</v>
      </c>
      <c r="D199">
        <v>8</v>
      </c>
      <c r="E199" s="3">
        <v>46260.753472222219</v>
      </c>
      <c r="F199" s="3">
        <v>46260.763194444444</v>
      </c>
      <c r="G199" s="3">
        <v>46260.783333333333</v>
      </c>
      <c r="H199" s="3">
        <v>46260.804861111108</v>
      </c>
      <c r="I199" s="3">
        <v>46260.813194444447</v>
      </c>
      <c r="J199" s="6">
        <f>IF(OR(NOT(ISNUMBER(Raw_Data[[#This Row],[Table_Vacated_Time]])),NOT(ISNUMBER(Raw_Data[[#This Row],[Seating_Time]])))," ",Raw_Data[[#This Row],[Table_Vacated_Time]]-Raw_Data[[#This Row],[Seating_Time]])</f>
        <v>5.9722222227719612E-2</v>
      </c>
      <c r="K199">
        <v>2194.5500000000002</v>
      </c>
      <c r="L199" s="1" t="s">
        <v>28</v>
      </c>
      <c r="M199" s="1" t="s">
        <v>24</v>
      </c>
      <c r="N199" s="1" t="s">
        <v>41</v>
      </c>
      <c r="O199" s="1" t="s">
        <v>281</v>
      </c>
      <c r="P199" s="1" t="s">
        <v>29</v>
      </c>
      <c r="Q199" s="1" t="s">
        <v>81</v>
      </c>
      <c r="R199">
        <v>7</v>
      </c>
    </row>
    <row r="200" spans="1:18" x14ac:dyDescent="0.25">
      <c r="A200" s="1" t="s">
        <v>241</v>
      </c>
      <c r="B200" s="4">
        <v>46257</v>
      </c>
      <c r="C200" s="2">
        <v>0.52083333333333337</v>
      </c>
      <c r="D200">
        <v>6</v>
      </c>
      <c r="E200" s="3">
        <v>46257.520833333336</v>
      </c>
      <c r="F200" s="3">
        <v>46257.53125</v>
      </c>
      <c r="G200" s="3">
        <v>46257.54583333333</v>
      </c>
      <c r="H200" s="3">
        <v>46257.570138888892</v>
      </c>
      <c r="I200" s="3">
        <v>46257.574305555558</v>
      </c>
      <c r="J200" s="6">
        <f>IF(OR(NOT(ISNUMBER(Raw_Data[[#This Row],[Table_Vacated_Time]])),NOT(ISNUMBER(Raw_Data[[#This Row],[Seating_Time]])))," ",Raw_Data[[#This Row],[Table_Vacated_Time]]-Raw_Data[[#This Row],[Seating_Time]])</f>
        <v>5.3472222221898846E-2</v>
      </c>
      <c r="K200">
        <v>1902.01</v>
      </c>
      <c r="L200" s="1" t="s">
        <v>31</v>
      </c>
      <c r="M200" s="1" t="s">
        <v>38</v>
      </c>
      <c r="N200" s="1" t="s">
        <v>20</v>
      </c>
      <c r="O200" s="1" t="s">
        <v>277</v>
      </c>
      <c r="P200" s="1" t="s">
        <v>29</v>
      </c>
      <c r="Q200" s="1" t="s">
        <v>92</v>
      </c>
      <c r="R200">
        <v>5</v>
      </c>
    </row>
    <row r="201" spans="1:18" x14ac:dyDescent="0.25">
      <c r="A201" s="1" t="s">
        <v>242</v>
      </c>
      <c r="B201" s="4">
        <v>46250</v>
      </c>
      <c r="C201" s="2">
        <v>0.81944444444444442</v>
      </c>
      <c r="D201">
        <v>7</v>
      </c>
      <c r="E201" s="3">
        <v>46250.819444444445</v>
      </c>
      <c r="F201" s="3">
        <v>46250.828472222223</v>
      </c>
      <c r="G201" s="3">
        <v>46250.837500000001</v>
      </c>
      <c r="H201" s="3">
        <v>46250.867361111108</v>
      </c>
      <c r="I201" s="3">
        <v>46250.876388888886</v>
      </c>
      <c r="J201" s="6">
        <f>IF(OR(NOT(ISNUMBER(Raw_Data[[#This Row],[Table_Vacated_Time]])),NOT(ISNUMBER(Raw_Data[[#This Row],[Seating_Time]])))," ",Raw_Data[[#This Row],[Table_Vacated_Time]]-Raw_Data[[#This Row],[Seating_Time]])</f>
        <v>5.694444444088731E-2</v>
      </c>
      <c r="K201">
        <v>1361.37</v>
      </c>
      <c r="L201" s="1" t="s">
        <v>18</v>
      </c>
      <c r="M201" s="1" t="s">
        <v>19</v>
      </c>
      <c r="N201" s="1" t="s">
        <v>33</v>
      </c>
      <c r="O201" s="1"/>
      <c r="P201" s="1" t="s">
        <v>21</v>
      </c>
      <c r="Q201" s="1" t="s">
        <v>66</v>
      </c>
      <c r="R201">
        <v>14</v>
      </c>
    </row>
    <row r="202" spans="1:18" x14ac:dyDescent="0.25">
      <c r="A202" s="1" t="s">
        <v>243</v>
      </c>
      <c r="B202" s="4">
        <v>46256</v>
      </c>
      <c r="C202" s="2">
        <v>0.78472222222222221</v>
      </c>
      <c r="D202">
        <v>8</v>
      </c>
      <c r="E202" s="3">
        <v>46256.784722222219</v>
      </c>
      <c r="F202" s="3">
        <v>46256.794444444444</v>
      </c>
      <c r="G202" s="3">
        <v>46256.816666666666</v>
      </c>
      <c r="H202" s="3">
        <v>46256.86041666667</v>
      </c>
      <c r="I202" s="3">
        <v>46256.868750000001</v>
      </c>
      <c r="J202" s="6">
        <f>IF(OR(NOT(ISNUMBER(Raw_Data[[#This Row],[Table_Vacated_Time]])),NOT(ISNUMBER(Raw_Data[[#This Row],[Seating_Time]])))," ",Raw_Data[[#This Row],[Table_Vacated_Time]]-Raw_Data[[#This Row],[Seating_Time]])</f>
        <v>8.4027777782466728E-2</v>
      </c>
      <c r="K202">
        <v>2306.7800000000002</v>
      </c>
      <c r="L202" s="1" t="s">
        <v>31</v>
      </c>
      <c r="M202" s="1" t="s">
        <v>38</v>
      </c>
      <c r="N202" s="1" t="s">
        <v>33</v>
      </c>
      <c r="O202" s="1" t="s">
        <v>277</v>
      </c>
      <c r="P202" s="1" t="s">
        <v>21</v>
      </c>
      <c r="Q202" s="1" t="s">
        <v>36</v>
      </c>
      <c r="R202">
        <v>2</v>
      </c>
    </row>
    <row r="203" spans="1:18" x14ac:dyDescent="0.25">
      <c r="A203" s="1" t="s">
        <v>244</v>
      </c>
      <c r="B203" s="4">
        <v>46242</v>
      </c>
      <c r="C203" s="2">
        <v>0.81944444444444442</v>
      </c>
      <c r="D203">
        <v>7</v>
      </c>
      <c r="E203" s="3">
        <v>46242.819444444445</v>
      </c>
      <c r="F203" s="3">
        <v>46242.830555555556</v>
      </c>
      <c r="G203" s="3">
        <v>46242.851388888892</v>
      </c>
      <c r="H203" s="3">
        <v>46242.875</v>
      </c>
      <c r="I203" s="3">
        <v>46242.881249999999</v>
      </c>
      <c r="J203" s="6">
        <f>IF(OR(NOT(ISNUMBER(Raw_Data[[#This Row],[Table_Vacated_Time]])),NOT(ISNUMBER(Raw_Data[[#This Row],[Seating_Time]])))," ",Raw_Data[[#This Row],[Table_Vacated_Time]]-Raw_Data[[#This Row],[Seating_Time]])</f>
        <v>6.1805555553291924E-2</v>
      </c>
      <c r="K203">
        <v>2298.4299999999998</v>
      </c>
      <c r="L203" s="1" t="s">
        <v>28</v>
      </c>
      <c r="M203" s="1" t="s">
        <v>47</v>
      </c>
      <c r="N203" s="1" t="s">
        <v>25</v>
      </c>
      <c r="O203" s="1" t="s">
        <v>277</v>
      </c>
      <c r="P203" s="1" t="s">
        <v>29</v>
      </c>
      <c r="Q203" s="1" t="s">
        <v>22</v>
      </c>
      <c r="R203">
        <v>19</v>
      </c>
    </row>
    <row r="204" spans="1:18" x14ac:dyDescent="0.25">
      <c r="A204" s="1" t="s">
        <v>245</v>
      </c>
      <c r="B204" s="4">
        <v>46244</v>
      </c>
      <c r="C204" s="2">
        <v>0.75347222222222221</v>
      </c>
      <c r="D204">
        <v>2</v>
      </c>
      <c r="E204" s="3">
        <v>46244.753472222219</v>
      </c>
      <c r="F204" s="3">
        <v>46244.760416666664</v>
      </c>
      <c r="G204" s="3">
        <v>46244.775000000001</v>
      </c>
      <c r="H204" s="3">
        <v>46244.803472222222</v>
      </c>
      <c r="I204" s="3">
        <v>46244.80972222222</v>
      </c>
      <c r="J204" s="6">
        <f>IF(OR(NOT(ISNUMBER(Raw_Data[[#This Row],[Table_Vacated_Time]])),NOT(ISNUMBER(Raw_Data[[#This Row],[Seating_Time]])))," ",Raw_Data[[#This Row],[Table_Vacated_Time]]-Raw_Data[[#This Row],[Seating_Time]])</f>
        <v>5.6250000001455192E-2</v>
      </c>
      <c r="K204">
        <v>1985.68</v>
      </c>
      <c r="L204" s="1" t="s">
        <v>18</v>
      </c>
      <c r="M204" s="1" t="s">
        <v>24</v>
      </c>
      <c r="N204" s="1" t="s">
        <v>25</v>
      </c>
      <c r="O204" s="1" t="s">
        <v>281</v>
      </c>
      <c r="P204" s="1" t="s">
        <v>21</v>
      </c>
      <c r="Q204" s="1" t="s">
        <v>24</v>
      </c>
      <c r="R204">
        <v>5</v>
      </c>
    </row>
    <row r="205" spans="1:18" x14ac:dyDescent="0.25">
      <c r="A205" s="1" t="s">
        <v>246</v>
      </c>
      <c r="B205" s="4">
        <v>46258</v>
      </c>
      <c r="C205" s="2">
        <v>0.85069444444444442</v>
      </c>
      <c r="D205">
        <v>2</v>
      </c>
      <c r="E205" s="3">
        <v>46258.850694444445</v>
      </c>
      <c r="F205" s="3">
        <v>46258.854166666664</v>
      </c>
      <c r="G205" s="3">
        <v>46258.879861111112</v>
      </c>
      <c r="H205" s="3">
        <v>46258.925000000003</v>
      </c>
      <c r="I205" s="3">
        <v>46258.927083333336</v>
      </c>
      <c r="J205" s="6">
        <f>IF(OR(NOT(ISNUMBER(Raw_Data[[#This Row],[Table_Vacated_Time]])),NOT(ISNUMBER(Raw_Data[[#This Row],[Seating_Time]])))," ",Raw_Data[[#This Row],[Table_Vacated_Time]]-Raw_Data[[#This Row],[Seating_Time]])</f>
        <v>7.6388888890505768E-2</v>
      </c>
      <c r="K205">
        <v>1772.63</v>
      </c>
      <c r="L205" s="1" t="s">
        <v>31</v>
      </c>
      <c r="M205" s="1" t="s">
        <v>19</v>
      </c>
      <c r="N205" s="1" t="s">
        <v>41</v>
      </c>
      <c r="O205" s="1"/>
      <c r="P205" s="1" t="s">
        <v>21</v>
      </c>
      <c r="Q205" s="1" t="s">
        <v>39</v>
      </c>
      <c r="R205">
        <v>10</v>
      </c>
    </row>
    <row r="206" spans="1:18" x14ac:dyDescent="0.25">
      <c r="A206" s="1" t="s">
        <v>247</v>
      </c>
      <c r="B206" s="4">
        <v>46240</v>
      </c>
      <c r="C206" s="2">
        <v>0.80902777777777779</v>
      </c>
      <c r="D206">
        <v>7</v>
      </c>
      <c r="E206" s="3">
        <v>46240.809027777781</v>
      </c>
      <c r="F206" s="3">
        <v>46240.817361111112</v>
      </c>
      <c r="G206" s="3">
        <v>46240.830555555556</v>
      </c>
      <c r="H206" s="3">
        <v>46240.861805555556</v>
      </c>
      <c r="I206" s="3">
        <v>46240.870138888888</v>
      </c>
      <c r="J206" s="6">
        <f>IF(OR(NOT(ISNUMBER(Raw_Data[[#This Row],[Table_Vacated_Time]])),NOT(ISNUMBER(Raw_Data[[#This Row],[Seating_Time]])))," ",Raw_Data[[#This Row],[Table_Vacated_Time]]-Raw_Data[[#This Row],[Seating_Time]])</f>
        <v>6.1111111106583849E-2</v>
      </c>
      <c r="K206">
        <v>1232.28</v>
      </c>
      <c r="L206" s="1" t="s">
        <v>31</v>
      </c>
      <c r="M206" s="1" t="s">
        <v>38</v>
      </c>
      <c r="N206" s="1" t="s">
        <v>20</v>
      </c>
      <c r="O206" s="1" t="s">
        <v>277</v>
      </c>
      <c r="P206" s="1" t="s">
        <v>34</v>
      </c>
      <c r="Q206" s="1" t="s">
        <v>92</v>
      </c>
      <c r="R206">
        <v>14</v>
      </c>
    </row>
    <row r="207" spans="1:18" x14ac:dyDescent="0.25">
      <c r="A207" s="1" t="s">
        <v>248</v>
      </c>
      <c r="B207" s="4">
        <v>46263</v>
      </c>
      <c r="C207" s="2">
        <v>0.57291666666666663</v>
      </c>
      <c r="D207">
        <v>5</v>
      </c>
      <c r="E207" s="3">
        <v>46263.572916666664</v>
      </c>
      <c r="F207" s="3">
        <v>46263.576388888891</v>
      </c>
      <c r="G207" s="3">
        <v>46263.6</v>
      </c>
      <c r="H207" s="3">
        <v>46263.622916666667</v>
      </c>
      <c r="I207" s="3">
        <v>46263.626388888886</v>
      </c>
      <c r="J207" s="6">
        <f>IF(OR(NOT(ISNUMBER(Raw_Data[[#This Row],[Table_Vacated_Time]])),NOT(ISNUMBER(Raw_Data[[#This Row],[Seating_Time]])))," ",Raw_Data[[#This Row],[Table_Vacated_Time]]-Raw_Data[[#This Row],[Seating_Time]])</f>
        <v>5.3472222221898846E-2</v>
      </c>
      <c r="K207">
        <v>1234.2</v>
      </c>
      <c r="L207" s="1" t="s">
        <v>31</v>
      </c>
      <c r="M207" s="1" t="s">
        <v>19</v>
      </c>
      <c r="N207" s="1" t="s">
        <v>33</v>
      </c>
      <c r="O207" s="1"/>
      <c r="P207" s="1" t="s">
        <v>34</v>
      </c>
      <c r="Q207" s="1" t="s">
        <v>44</v>
      </c>
      <c r="R207">
        <v>13</v>
      </c>
    </row>
    <row r="208" spans="1:18" x14ac:dyDescent="0.25">
      <c r="A208" s="1" t="s">
        <v>249</v>
      </c>
      <c r="B208" s="4">
        <v>46246</v>
      </c>
      <c r="C208" s="2">
        <v>0.60763888888888884</v>
      </c>
      <c r="D208">
        <v>2</v>
      </c>
      <c r="E208" s="3">
        <v>46246.607638888891</v>
      </c>
      <c r="F208" s="3">
        <v>46246.618055555555</v>
      </c>
      <c r="G208" s="3">
        <v>46246.636805555558</v>
      </c>
      <c r="H208" s="3">
        <v>46246.673611111109</v>
      </c>
      <c r="I208" s="3">
        <v>46246.681944444441</v>
      </c>
      <c r="J208" s="6">
        <f>IF(OR(NOT(ISNUMBER(Raw_Data[[#This Row],[Table_Vacated_Time]])),NOT(ISNUMBER(Raw_Data[[#This Row],[Seating_Time]])))," ",Raw_Data[[#This Row],[Table_Vacated_Time]]-Raw_Data[[#This Row],[Seating_Time]])</f>
        <v>7.4305555550381541E-2</v>
      </c>
      <c r="K208">
        <v>1673.27</v>
      </c>
      <c r="L208" s="1" t="s">
        <v>28</v>
      </c>
      <c r="M208" s="1" t="s">
        <v>38</v>
      </c>
      <c r="N208" s="1" t="s">
        <v>33</v>
      </c>
      <c r="O208" s="1" t="s">
        <v>280</v>
      </c>
      <c r="P208" s="1" t="s">
        <v>29</v>
      </c>
      <c r="Q208" s="1" t="s">
        <v>81</v>
      </c>
      <c r="R208">
        <v>9</v>
      </c>
    </row>
    <row r="209" spans="1:18" x14ac:dyDescent="0.25">
      <c r="A209" s="1" t="s">
        <v>250</v>
      </c>
      <c r="B209" s="4">
        <v>46249</v>
      </c>
      <c r="C209" s="2">
        <v>0.86805555555555558</v>
      </c>
      <c r="D209">
        <v>4</v>
      </c>
      <c r="E209" s="3">
        <v>46249.868055555555</v>
      </c>
      <c r="F209" s="3">
        <v>46249.87777777778</v>
      </c>
      <c r="G209" s="3">
        <v>46249.887499999997</v>
      </c>
      <c r="H209" s="3">
        <v>46249.931250000001</v>
      </c>
      <c r="I209" s="3">
        <v>46249.934027777781</v>
      </c>
      <c r="J209" s="6">
        <f>IF(OR(NOT(ISNUMBER(Raw_Data[[#This Row],[Table_Vacated_Time]])),NOT(ISNUMBER(Raw_Data[[#This Row],[Seating_Time]])))," ",Raw_Data[[#This Row],[Table_Vacated_Time]]-Raw_Data[[#This Row],[Seating_Time]])</f>
        <v>6.5972222226264421E-2</v>
      </c>
      <c r="K209">
        <v>1912.58</v>
      </c>
      <c r="L209" s="1" t="s">
        <v>18</v>
      </c>
      <c r="M209" s="1" t="s">
        <v>59</v>
      </c>
      <c r="N209" s="1" t="s">
        <v>33</v>
      </c>
      <c r="O209" s="1" t="s">
        <v>279</v>
      </c>
      <c r="P209" s="1" t="s">
        <v>29</v>
      </c>
      <c r="Q209" s="1" t="s">
        <v>48</v>
      </c>
      <c r="R209">
        <v>20</v>
      </c>
    </row>
    <row r="210" spans="1:18" x14ac:dyDescent="0.25">
      <c r="A210" s="1" t="s">
        <v>251</v>
      </c>
      <c r="B210" s="4">
        <v>46239</v>
      </c>
      <c r="C210" s="2">
        <v>0.8125</v>
      </c>
      <c r="D210">
        <v>8</v>
      </c>
      <c r="E210" s="3">
        <v>46239.8125</v>
      </c>
      <c r="F210" s="3">
        <v>46239.822222222225</v>
      </c>
      <c r="G210" s="3">
        <v>46239.838888888888</v>
      </c>
      <c r="H210" s="3">
        <v>46239.871527777781</v>
      </c>
      <c r="I210" s="3">
        <v>46239.874305555553</v>
      </c>
      <c r="J210" s="6">
        <f>IF(OR(NOT(ISNUMBER(Raw_Data[[#This Row],[Table_Vacated_Time]])),NOT(ISNUMBER(Raw_Data[[#This Row],[Seating_Time]])))," ",Raw_Data[[#This Row],[Table_Vacated_Time]]-Raw_Data[[#This Row],[Seating_Time]])</f>
        <v>6.1805555553291924E-2</v>
      </c>
      <c r="K210">
        <v>2393.2800000000002</v>
      </c>
      <c r="L210" s="1" t="s">
        <v>18</v>
      </c>
      <c r="M210" s="1" t="s">
        <v>47</v>
      </c>
      <c r="N210" s="1" t="s">
        <v>41</v>
      </c>
      <c r="O210" s="1" t="s">
        <v>281</v>
      </c>
      <c r="P210" s="1" t="s">
        <v>29</v>
      </c>
      <c r="Q210" s="1" t="s">
        <v>44</v>
      </c>
      <c r="R210">
        <v>5</v>
      </c>
    </row>
    <row r="211" spans="1:18" x14ac:dyDescent="0.25">
      <c r="A211" s="1" t="s">
        <v>252</v>
      </c>
      <c r="B211" s="4">
        <v>46240</v>
      </c>
      <c r="C211" s="2">
        <v>0.60763888888888884</v>
      </c>
      <c r="D211">
        <v>8</v>
      </c>
      <c r="E211" s="3">
        <v>46240.607638888891</v>
      </c>
      <c r="F211" s="3">
        <v>46240.620138888888</v>
      </c>
      <c r="G211" s="3">
        <v>46240.636111111111</v>
      </c>
      <c r="H211" s="3">
        <v>46240.65</v>
      </c>
      <c r="I211" s="3">
        <v>46240.65625</v>
      </c>
      <c r="J211" s="6">
        <f>IF(OR(NOT(ISNUMBER(Raw_Data[[#This Row],[Table_Vacated_Time]])),NOT(ISNUMBER(Raw_Data[[#This Row],[Seating_Time]])))," ",Raw_Data[[#This Row],[Table_Vacated_Time]]-Raw_Data[[#This Row],[Seating_Time]])</f>
        <v>4.8611111109494232E-2</v>
      </c>
      <c r="K211">
        <v>4229</v>
      </c>
      <c r="L211" s="1" t="s">
        <v>28</v>
      </c>
      <c r="M211" s="1" t="s">
        <v>24</v>
      </c>
      <c r="N211" s="1" t="s">
        <v>20</v>
      </c>
      <c r="O211" s="1"/>
      <c r="P211" s="1" t="s">
        <v>29</v>
      </c>
      <c r="Q211" s="1" t="s">
        <v>42</v>
      </c>
      <c r="R211">
        <v>2</v>
      </c>
    </row>
    <row r="212" spans="1:18" x14ac:dyDescent="0.25">
      <c r="A212" s="1" t="s">
        <v>253</v>
      </c>
      <c r="B212" s="4">
        <v>46257</v>
      </c>
      <c r="C212" s="2">
        <v>0.89930555555555558</v>
      </c>
      <c r="D212">
        <v>2</v>
      </c>
      <c r="E212" s="3">
        <v>46257.899305555555</v>
      </c>
      <c r="F212" s="3">
        <v>46257.90902777778</v>
      </c>
      <c r="G212" s="3">
        <v>46257.917361111111</v>
      </c>
      <c r="H212" s="3">
        <v>46257.940972222219</v>
      </c>
      <c r="I212" s="3">
        <v>46257.945138888892</v>
      </c>
      <c r="J212" s="6">
        <f>IF(OR(NOT(ISNUMBER(Raw_Data[[#This Row],[Table_Vacated_Time]])),NOT(ISNUMBER(Raw_Data[[#This Row],[Seating_Time]])))," ",Raw_Data[[#This Row],[Table_Vacated_Time]]-Raw_Data[[#This Row],[Seating_Time]])</f>
        <v>4.5833333337213844E-2</v>
      </c>
      <c r="K212">
        <v>1533.59</v>
      </c>
      <c r="L212" s="1" t="s">
        <v>18</v>
      </c>
      <c r="M212" s="1" t="s">
        <v>59</v>
      </c>
      <c r="N212" s="1" t="s">
        <v>41</v>
      </c>
      <c r="O212" s="1"/>
      <c r="P212" s="1" t="s">
        <v>29</v>
      </c>
      <c r="Q212" s="1" t="s">
        <v>92</v>
      </c>
      <c r="R212">
        <v>3</v>
      </c>
    </row>
    <row r="213" spans="1:18" x14ac:dyDescent="0.25">
      <c r="A213" s="1" t="s">
        <v>254</v>
      </c>
      <c r="B213" s="4">
        <v>46258</v>
      </c>
      <c r="C213" s="2">
        <v>0.85763888888888884</v>
      </c>
      <c r="D213">
        <v>7</v>
      </c>
      <c r="E213" s="3">
        <v>46258.857638888891</v>
      </c>
      <c r="F213" s="3">
        <v>46258.861805555556</v>
      </c>
      <c r="G213" s="3">
        <v>46258.882638888892</v>
      </c>
      <c r="H213" s="3">
        <v>46258.901388888888</v>
      </c>
      <c r="I213" s="3">
        <v>46258.905555555553</v>
      </c>
      <c r="J213" s="6">
        <f>IF(OR(NOT(ISNUMBER(Raw_Data[[#This Row],[Table_Vacated_Time]])),NOT(ISNUMBER(Raw_Data[[#This Row],[Seating_Time]])))," ",Raw_Data[[#This Row],[Table_Vacated_Time]]-Raw_Data[[#This Row],[Seating_Time]])</f>
        <v>4.7916666662786156E-2</v>
      </c>
      <c r="K213">
        <v>2614.56</v>
      </c>
      <c r="L213" s="1" t="s">
        <v>31</v>
      </c>
      <c r="M213" s="1" t="s">
        <v>44</v>
      </c>
      <c r="N213" s="1" t="s">
        <v>20</v>
      </c>
      <c r="O213" s="1" t="s">
        <v>278</v>
      </c>
      <c r="P213" s="1" t="s">
        <v>21</v>
      </c>
      <c r="Q213" s="1" t="s">
        <v>42</v>
      </c>
      <c r="R213">
        <v>17</v>
      </c>
    </row>
    <row r="214" spans="1:18" x14ac:dyDescent="0.25">
      <c r="A214" s="1" t="s">
        <v>255</v>
      </c>
      <c r="B214" s="4">
        <v>46238</v>
      </c>
      <c r="C214" s="2">
        <v>0.86805555555555558</v>
      </c>
      <c r="D214">
        <v>3</v>
      </c>
      <c r="E214" s="3">
        <v>46238.868055555555</v>
      </c>
      <c r="F214" s="3">
        <v>46238.880555555559</v>
      </c>
      <c r="G214" s="3">
        <v>46238.88958333333</v>
      </c>
      <c r="H214" s="3">
        <v>46238.92291666667</v>
      </c>
      <c r="I214" s="3">
        <v>46238.927083333336</v>
      </c>
      <c r="J214" s="6">
        <f>IF(OR(NOT(ISNUMBER(Raw_Data[[#This Row],[Table_Vacated_Time]])),NOT(ISNUMBER(Raw_Data[[#This Row],[Seating_Time]])))," ",Raw_Data[[#This Row],[Table_Vacated_Time]]-Raw_Data[[#This Row],[Seating_Time]])</f>
        <v>5.9027777781011537E-2</v>
      </c>
      <c r="K214">
        <v>2034.7</v>
      </c>
      <c r="L214" s="1" t="s">
        <v>28</v>
      </c>
      <c r="M214" s="1" t="s">
        <v>24</v>
      </c>
      <c r="N214" s="1" t="s">
        <v>33</v>
      </c>
      <c r="O214" s="1"/>
      <c r="P214" s="1" t="s">
        <v>21</v>
      </c>
      <c r="Q214" s="1" t="s">
        <v>32</v>
      </c>
      <c r="R214">
        <v>10</v>
      </c>
    </row>
    <row r="215" spans="1:18" x14ac:dyDescent="0.25">
      <c r="A215" s="1" t="s">
        <v>256</v>
      </c>
      <c r="B215" s="4">
        <v>46260</v>
      </c>
      <c r="C215" s="2">
        <v>0.87152777777777779</v>
      </c>
      <c r="D215">
        <v>4</v>
      </c>
      <c r="E215" s="3">
        <v>46260.871527777781</v>
      </c>
      <c r="F215" s="3">
        <v>46260.881944444445</v>
      </c>
      <c r="G215" s="3">
        <v>46260.899305555555</v>
      </c>
      <c r="H215" s="3">
        <v>46260.920138888891</v>
      </c>
      <c r="I215" s="3">
        <v>46260.927777777775</v>
      </c>
      <c r="J215" s="6">
        <f>IF(OR(NOT(ISNUMBER(Raw_Data[[#This Row],[Table_Vacated_Time]])),NOT(ISNUMBER(Raw_Data[[#This Row],[Seating_Time]])))," ",Raw_Data[[#This Row],[Table_Vacated_Time]]-Raw_Data[[#This Row],[Seating_Time]])</f>
        <v>5.6249999994179234E-2</v>
      </c>
      <c r="K215">
        <v>1988.27</v>
      </c>
      <c r="L215" s="1" t="s">
        <v>18</v>
      </c>
      <c r="M215" s="1" t="s">
        <v>32</v>
      </c>
      <c r="N215" s="1" t="s">
        <v>33</v>
      </c>
      <c r="O215" s="1" t="s">
        <v>278</v>
      </c>
      <c r="P215" s="1" t="s">
        <v>29</v>
      </c>
      <c r="Q215" s="1" t="s">
        <v>39</v>
      </c>
      <c r="R215">
        <v>20</v>
      </c>
    </row>
    <row r="216" spans="1:18" x14ac:dyDescent="0.25">
      <c r="A216" s="1" t="s">
        <v>257</v>
      </c>
      <c r="B216" s="4">
        <v>46243</v>
      </c>
      <c r="C216" s="2">
        <v>0.84027777777777779</v>
      </c>
      <c r="D216">
        <v>4</v>
      </c>
      <c r="E216" s="3">
        <v>46243.840277777781</v>
      </c>
      <c r="F216" s="3">
        <v>46243.84652777778</v>
      </c>
      <c r="G216" s="3">
        <v>46243.867361111108</v>
      </c>
      <c r="H216" s="3">
        <v>46243.893055555556</v>
      </c>
      <c r="I216" s="3">
        <v>46243.90347222222</v>
      </c>
      <c r="J216" s="6">
        <f>IF(OR(NOT(ISNUMBER(Raw_Data[[#This Row],[Table_Vacated_Time]])),NOT(ISNUMBER(Raw_Data[[#This Row],[Seating_Time]])))," ",Raw_Data[[#This Row],[Table_Vacated_Time]]-Raw_Data[[#This Row],[Seating_Time]])</f>
        <v>6.3194444439432118E-2</v>
      </c>
      <c r="K216">
        <v>1456.6</v>
      </c>
      <c r="L216" s="1" t="s">
        <v>31</v>
      </c>
      <c r="M216" s="1" t="s">
        <v>19</v>
      </c>
      <c r="N216" s="1" t="s">
        <v>41</v>
      </c>
      <c r="O216" s="1"/>
      <c r="P216" s="1" t="s">
        <v>29</v>
      </c>
      <c r="Q216" s="1" t="s">
        <v>53</v>
      </c>
      <c r="R216">
        <v>10</v>
      </c>
    </row>
    <row r="217" spans="1:18" x14ac:dyDescent="0.25">
      <c r="A217" s="1" t="s">
        <v>258</v>
      </c>
      <c r="B217" s="4">
        <v>46243</v>
      </c>
      <c r="C217" s="2">
        <v>0.88194444444444442</v>
      </c>
      <c r="D217">
        <v>2</v>
      </c>
      <c r="E217" s="3">
        <v>46243.881944444445</v>
      </c>
      <c r="F217" s="3">
        <v>46243.886805555558</v>
      </c>
      <c r="G217" s="3">
        <v>46243.910416666666</v>
      </c>
      <c r="H217" s="3">
        <v>46243.938194444447</v>
      </c>
      <c r="I217" s="3">
        <v>46243.948611111111</v>
      </c>
      <c r="J217" s="6">
        <f>IF(OR(NOT(ISNUMBER(Raw_Data[[#This Row],[Table_Vacated_Time]])),NOT(ISNUMBER(Raw_Data[[#This Row],[Seating_Time]])))," ",Raw_Data[[#This Row],[Table_Vacated_Time]]-Raw_Data[[#This Row],[Seating_Time]])</f>
        <v>6.6666666665696539E-2</v>
      </c>
      <c r="K217">
        <v>1807.43</v>
      </c>
      <c r="L217" s="1" t="s">
        <v>31</v>
      </c>
      <c r="M217" s="1" t="s">
        <v>38</v>
      </c>
      <c r="N217" s="1" t="s">
        <v>20</v>
      </c>
      <c r="O217" s="1" t="s">
        <v>279</v>
      </c>
      <c r="P217" s="1" t="s">
        <v>34</v>
      </c>
      <c r="Q217" s="1" t="s">
        <v>66</v>
      </c>
      <c r="R217">
        <v>8</v>
      </c>
    </row>
    <row r="218" spans="1:18" x14ac:dyDescent="0.25">
      <c r="A218" s="1" t="s">
        <v>259</v>
      </c>
      <c r="B218" s="4">
        <v>46243</v>
      </c>
      <c r="C218" s="2">
        <v>0.85416666666666663</v>
      </c>
      <c r="D218">
        <v>6</v>
      </c>
      <c r="E218" s="3">
        <v>46243.854166666664</v>
      </c>
      <c r="F218" s="3">
        <v>46243.864583333336</v>
      </c>
      <c r="G218" s="3">
        <v>46243.890277777777</v>
      </c>
      <c r="H218" s="3">
        <v>46243.907638888886</v>
      </c>
      <c r="I218" s="3">
        <v>46243.913194444445</v>
      </c>
      <c r="J218" s="6">
        <f>IF(OR(NOT(ISNUMBER(Raw_Data[[#This Row],[Table_Vacated_Time]])),NOT(ISNUMBER(Raw_Data[[#This Row],[Seating_Time]])))," ",Raw_Data[[#This Row],[Table_Vacated_Time]]-Raw_Data[[#This Row],[Seating_Time]])</f>
        <v>5.9027777781011537E-2</v>
      </c>
      <c r="K218">
        <v>1444.95</v>
      </c>
      <c r="L218" s="1" t="s">
        <v>31</v>
      </c>
      <c r="M218" s="1" t="s">
        <v>22</v>
      </c>
      <c r="N218" s="1" t="s">
        <v>20</v>
      </c>
      <c r="O218" s="1" t="s">
        <v>281</v>
      </c>
      <c r="P218" s="1" t="s">
        <v>29</v>
      </c>
      <c r="Q218" s="1" t="s">
        <v>92</v>
      </c>
      <c r="R218">
        <v>3</v>
      </c>
    </row>
    <row r="219" spans="1:18" x14ac:dyDescent="0.25">
      <c r="A219" s="1" t="s">
        <v>260</v>
      </c>
      <c r="B219" s="4">
        <v>46235</v>
      </c>
      <c r="C219" s="2">
        <v>0.91319444444444442</v>
      </c>
      <c r="D219">
        <v>2</v>
      </c>
      <c r="E219" s="3">
        <v>46235.913194444445</v>
      </c>
      <c r="F219" s="3">
        <v>46235.923611111109</v>
      </c>
      <c r="G219" s="3">
        <v>46235.946527777778</v>
      </c>
      <c r="H219" s="3">
        <v>46235.990972222222</v>
      </c>
      <c r="I219" s="3">
        <v>46235.995833333334</v>
      </c>
      <c r="J219" s="6">
        <f>IF(OR(NOT(ISNUMBER(Raw_Data[[#This Row],[Table_Vacated_Time]])),NOT(ISNUMBER(Raw_Data[[#This Row],[Seating_Time]])))," ",Raw_Data[[#This Row],[Table_Vacated_Time]]-Raw_Data[[#This Row],[Seating_Time]])</f>
        <v>8.2638888889050577E-2</v>
      </c>
      <c r="K219">
        <v>1259.75</v>
      </c>
      <c r="L219" s="1" t="s">
        <v>18</v>
      </c>
      <c r="M219" s="1" t="s">
        <v>38</v>
      </c>
      <c r="N219" s="1" t="s">
        <v>41</v>
      </c>
      <c r="O219" s="1" t="s">
        <v>281</v>
      </c>
      <c r="P219" s="1" t="s">
        <v>21</v>
      </c>
      <c r="Q219" s="1" t="s">
        <v>24</v>
      </c>
      <c r="R219">
        <v>15</v>
      </c>
    </row>
    <row r="220" spans="1:18" x14ac:dyDescent="0.25">
      <c r="A220" s="1" t="s">
        <v>261</v>
      </c>
      <c r="B220" s="4">
        <v>46243</v>
      </c>
      <c r="C220" s="2">
        <v>0.59722222222222221</v>
      </c>
      <c r="D220">
        <v>4</v>
      </c>
      <c r="E220" s="3">
        <v>46243.597222222219</v>
      </c>
      <c r="F220" s="3">
        <v>46243.606944444444</v>
      </c>
      <c r="G220" s="3">
        <v>46243.618055555555</v>
      </c>
      <c r="H220" s="3">
        <v>46243.656944444447</v>
      </c>
      <c r="I220" s="3">
        <v>46243.667361111111</v>
      </c>
      <c r="J220" s="6">
        <f>IF(OR(NOT(ISNUMBER(Raw_Data[[#This Row],[Table_Vacated_Time]])),NOT(ISNUMBER(Raw_Data[[#This Row],[Seating_Time]])))," ",Raw_Data[[#This Row],[Table_Vacated_Time]]-Raw_Data[[#This Row],[Seating_Time]])</f>
        <v>7.013888889196096E-2</v>
      </c>
      <c r="K220">
        <v>1363.05</v>
      </c>
      <c r="L220" s="1" t="s">
        <v>31</v>
      </c>
      <c r="M220" s="1" t="s">
        <v>44</v>
      </c>
      <c r="N220" s="1" t="s">
        <v>33</v>
      </c>
      <c r="O220" s="1" t="s">
        <v>277</v>
      </c>
      <c r="P220" s="1" t="s">
        <v>34</v>
      </c>
      <c r="Q220" s="1" t="s">
        <v>26</v>
      </c>
      <c r="R220">
        <v>18</v>
      </c>
    </row>
    <row r="221" spans="1:18" x14ac:dyDescent="0.25">
      <c r="A221" s="1" t="s">
        <v>262</v>
      </c>
      <c r="B221" s="4">
        <v>46261</v>
      </c>
      <c r="C221" s="2">
        <v>0.79513888888888884</v>
      </c>
      <c r="D221">
        <v>2</v>
      </c>
      <c r="E221" s="3">
        <v>46261.795138888891</v>
      </c>
      <c r="F221" s="3">
        <v>46261.803472222222</v>
      </c>
      <c r="G221" s="3">
        <v>46261.811805555553</v>
      </c>
      <c r="H221" s="3">
        <v>46261.844444444447</v>
      </c>
      <c r="I221" s="3">
        <v>46261.847916666666</v>
      </c>
      <c r="J221" s="6">
        <f>IF(OR(NOT(ISNUMBER(Raw_Data[[#This Row],[Table_Vacated_Time]])),NOT(ISNUMBER(Raw_Data[[#This Row],[Seating_Time]])))," ",Raw_Data[[#This Row],[Table_Vacated_Time]]-Raw_Data[[#This Row],[Seating_Time]])</f>
        <v>5.2777777775190771E-2</v>
      </c>
      <c r="K221">
        <v>1435.03</v>
      </c>
      <c r="L221" s="1" t="s">
        <v>18</v>
      </c>
      <c r="M221" s="1" t="s">
        <v>59</v>
      </c>
      <c r="N221" s="1" t="s">
        <v>41</v>
      </c>
      <c r="O221" s="1"/>
      <c r="P221" s="1" t="s">
        <v>29</v>
      </c>
      <c r="Q221" s="1" t="s">
        <v>22</v>
      </c>
      <c r="R221">
        <v>15</v>
      </c>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F8F50-FD6A-41AF-BA34-6C79A6AC5EC7}">
  <dimension ref="A2:A26"/>
  <sheetViews>
    <sheetView workbookViewId="0">
      <selection activeCell="A15" sqref="A15"/>
    </sheetView>
  </sheetViews>
  <sheetFormatPr defaultRowHeight="13.8" x14ac:dyDescent="0.25"/>
  <cols>
    <col min="1" max="1" width="27.3984375" customWidth="1"/>
    <col min="3" max="3" width="8"/>
    <col min="4" max="4" width="13.69921875" bestFit="1" customWidth="1"/>
  </cols>
  <sheetData>
    <row r="2" spans="1:1" x14ac:dyDescent="0.25">
      <c r="A2" t="s">
        <v>264</v>
      </c>
    </row>
    <row r="3" spans="1:1" x14ac:dyDescent="0.25">
      <c r="A3" s="12">
        <f>SUM(Raw_Data[Total_Bill])</f>
        <v>362712.61000000016</v>
      </c>
    </row>
    <row r="6" spans="1:1" x14ac:dyDescent="0.25">
      <c r="A6" t="s">
        <v>265</v>
      </c>
    </row>
    <row r="7" spans="1:1" x14ac:dyDescent="0.25">
      <c r="A7">
        <f>COUNTA(Restaurant_Table_Cleaned_Data!A191:A221)</f>
        <v>31</v>
      </c>
    </row>
    <row r="10" spans="1:1" x14ac:dyDescent="0.25">
      <c r="A10" t="s">
        <v>266</v>
      </c>
    </row>
    <row r="11" spans="1:1" x14ac:dyDescent="0.25">
      <c r="A11">
        <f>SUM(Raw_Data[Customer_Count])</f>
        <v>950</v>
      </c>
    </row>
    <row r="14" spans="1:1" x14ac:dyDescent="0.25">
      <c r="A14" t="s">
        <v>267</v>
      </c>
    </row>
    <row r="15" spans="1:1" x14ac:dyDescent="0.25">
      <c r="A15" s="12">
        <f>AVERAGE(Raw_Data[Total_Bill])</f>
        <v>1663.8193119266061</v>
      </c>
    </row>
    <row r="18" spans="1:1" x14ac:dyDescent="0.25">
      <c r="A18" t="s">
        <v>268</v>
      </c>
    </row>
    <row r="19" spans="1:1" x14ac:dyDescent="0.25">
      <c r="A19" t="e">
        <f>AVERAGE(Restaurant_Table_Cleaned_Data!O6:O221)</f>
        <v>#DIV/0!</v>
      </c>
    </row>
    <row r="22" spans="1:1" x14ac:dyDescent="0.25">
      <c r="A22" t="s">
        <v>269</v>
      </c>
    </row>
    <row r="23" spans="1:1" x14ac:dyDescent="0.25">
      <c r="A23" s="5">
        <f>AVERAGE(Raw_Data[Table_Vacated_Time])</f>
        <v>46250.877745922517</v>
      </c>
    </row>
    <row r="25" spans="1:1" x14ac:dyDescent="0.25">
      <c r="A25" t="s">
        <v>271</v>
      </c>
    </row>
    <row r="26" spans="1:1" x14ac:dyDescent="0.25">
      <c r="A26">
        <f>31/20</f>
        <v>1.55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D9999-9D8B-4668-92EA-D3DF00789D5D}">
  <dimension ref="B9:I72"/>
  <sheetViews>
    <sheetView workbookViewId="0">
      <selection activeCell="B9" sqref="B9"/>
    </sheetView>
  </sheetViews>
  <sheetFormatPr defaultRowHeight="13.8" x14ac:dyDescent="0.25"/>
  <cols>
    <col min="2" max="2" width="12.59765625" customWidth="1"/>
    <col min="3" max="3" width="29.796875" customWidth="1"/>
    <col min="5" max="5" width="12.59765625" customWidth="1"/>
    <col min="6" max="6" width="14.59765625" customWidth="1"/>
    <col min="8" max="8" width="12.59765625" customWidth="1"/>
    <col min="9" max="9" width="22.296875" customWidth="1"/>
  </cols>
  <sheetData>
    <row r="9" spans="2:9" x14ac:dyDescent="0.25">
      <c r="B9" s="7" t="s">
        <v>272</v>
      </c>
      <c r="C9" t="s">
        <v>263</v>
      </c>
      <c r="E9" s="7" t="s">
        <v>272</v>
      </c>
      <c r="F9" t="s">
        <v>273</v>
      </c>
      <c r="H9" s="7" t="s">
        <v>272</v>
      </c>
      <c r="I9" t="s">
        <v>274</v>
      </c>
    </row>
    <row r="10" spans="2:9" x14ac:dyDescent="0.25">
      <c r="B10" s="8">
        <v>1</v>
      </c>
      <c r="C10" s="1">
        <v>15586.080000000002</v>
      </c>
      <c r="E10" s="8">
        <v>1</v>
      </c>
      <c r="F10" s="1">
        <v>10</v>
      </c>
      <c r="H10" s="8">
        <v>1</v>
      </c>
      <c r="I10" s="1">
        <v>1558.6080000000002</v>
      </c>
    </row>
    <row r="11" spans="2:9" x14ac:dyDescent="0.25">
      <c r="B11" s="8">
        <v>2</v>
      </c>
      <c r="C11" s="1">
        <v>28265.63</v>
      </c>
      <c r="E11" s="8">
        <v>2</v>
      </c>
      <c r="F11" s="1">
        <v>14</v>
      </c>
      <c r="H11" s="8">
        <v>2</v>
      </c>
      <c r="I11" s="1">
        <v>2018.9735714285714</v>
      </c>
    </row>
    <row r="12" spans="2:9" x14ac:dyDescent="0.25">
      <c r="B12" s="8">
        <v>3</v>
      </c>
      <c r="C12" s="1">
        <v>19659.29</v>
      </c>
      <c r="E12" s="8">
        <v>3</v>
      </c>
      <c r="F12" s="1">
        <v>14</v>
      </c>
      <c r="H12" s="8">
        <v>3</v>
      </c>
      <c r="I12" s="1">
        <v>1404.2350000000001</v>
      </c>
    </row>
    <row r="13" spans="2:9" x14ac:dyDescent="0.25">
      <c r="B13" s="8">
        <v>4</v>
      </c>
      <c r="C13" s="1">
        <v>14681.410000000002</v>
      </c>
      <c r="E13" s="8">
        <v>4</v>
      </c>
      <c r="F13" s="1">
        <v>8</v>
      </c>
      <c r="H13" s="8">
        <v>4</v>
      </c>
      <c r="I13" s="1">
        <v>1835.1762500000002</v>
      </c>
    </row>
    <row r="14" spans="2:9" x14ac:dyDescent="0.25">
      <c r="B14" s="8">
        <v>5</v>
      </c>
      <c r="C14" s="1">
        <v>21513.709999999995</v>
      </c>
      <c r="E14" s="8">
        <v>5</v>
      </c>
      <c r="F14" s="1">
        <v>14</v>
      </c>
      <c r="H14" s="8">
        <v>5</v>
      </c>
      <c r="I14" s="1">
        <v>1536.6935714285712</v>
      </c>
    </row>
    <row r="15" spans="2:9" x14ac:dyDescent="0.25">
      <c r="B15" s="8">
        <v>6</v>
      </c>
      <c r="C15" s="1">
        <v>7570.49</v>
      </c>
      <c r="E15" s="8">
        <v>6</v>
      </c>
      <c r="F15" s="1">
        <v>7</v>
      </c>
      <c r="H15" s="8">
        <v>6</v>
      </c>
      <c r="I15" s="1">
        <v>1081.4985714285715</v>
      </c>
    </row>
    <row r="16" spans="2:9" x14ac:dyDescent="0.25">
      <c r="B16" s="8">
        <v>7</v>
      </c>
      <c r="C16" s="1">
        <v>12760.580000000002</v>
      </c>
      <c r="E16" s="8">
        <v>7</v>
      </c>
      <c r="F16" s="1">
        <v>8</v>
      </c>
      <c r="H16" s="8">
        <v>7</v>
      </c>
      <c r="I16" s="1">
        <v>1595.0725000000002</v>
      </c>
    </row>
    <row r="17" spans="2:9" x14ac:dyDescent="0.25">
      <c r="B17" s="8">
        <v>8</v>
      </c>
      <c r="C17" s="1">
        <v>20968.809999999998</v>
      </c>
      <c r="E17" s="8">
        <v>8</v>
      </c>
      <c r="F17" s="1">
        <v>14</v>
      </c>
      <c r="H17" s="8">
        <v>8</v>
      </c>
      <c r="I17" s="1">
        <v>1612.9853846153844</v>
      </c>
    </row>
    <row r="18" spans="2:9" x14ac:dyDescent="0.25">
      <c r="B18" s="8">
        <v>9</v>
      </c>
      <c r="C18" s="1">
        <v>24488.89</v>
      </c>
      <c r="E18" s="8">
        <v>9</v>
      </c>
      <c r="F18" s="1">
        <v>14</v>
      </c>
      <c r="H18" s="8">
        <v>9</v>
      </c>
      <c r="I18" s="1">
        <v>1749.2064285714284</v>
      </c>
    </row>
    <row r="19" spans="2:9" x14ac:dyDescent="0.25">
      <c r="B19" s="8">
        <v>10</v>
      </c>
      <c r="C19" s="1">
        <v>20878.669999999998</v>
      </c>
      <c r="E19" s="8">
        <v>10</v>
      </c>
      <c r="F19" s="1">
        <v>11</v>
      </c>
      <c r="H19" s="8">
        <v>10</v>
      </c>
      <c r="I19" s="1">
        <v>1898.060909090909</v>
      </c>
    </row>
    <row r="20" spans="2:9" x14ac:dyDescent="0.25">
      <c r="B20" s="8">
        <v>11</v>
      </c>
      <c r="C20" s="1">
        <v>16554.09</v>
      </c>
      <c r="E20" s="8">
        <v>11</v>
      </c>
      <c r="F20" s="1">
        <v>10</v>
      </c>
      <c r="H20" s="8">
        <v>11</v>
      </c>
      <c r="I20" s="1">
        <v>1655.4090000000001</v>
      </c>
    </row>
    <row r="21" spans="2:9" x14ac:dyDescent="0.25">
      <c r="B21" s="8">
        <v>12</v>
      </c>
      <c r="C21" s="1">
        <v>8904.36</v>
      </c>
      <c r="E21" s="8">
        <v>12</v>
      </c>
      <c r="F21" s="1">
        <v>5</v>
      </c>
      <c r="H21" s="8">
        <v>12</v>
      </c>
      <c r="I21" s="1">
        <v>1780.8720000000001</v>
      </c>
    </row>
    <row r="22" spans="2:9" x14ac:dyDescent="0.25">
      <c r="B22" s="8">
        <v>13</v>
      </c>
      <c r="C22" s="1">
        <v>14190.3</v>
      </c>
      <c r="E22" s="8">
        <v>13</v>
      </c>
      <c r="F22" s="1">
        <v>8</v>
      </c>
      <c r="H22" s="8">
        <v>13</v>
      </c>
      <c r="I22" s="1">
        <v>1773.7874999999999</v>
      </c>
    </row>
    <row r="23" spans="2:9" x14ac:dyDescent="0.25">
      <c r="B23" s="8">
        <v>14</v>
      </c>
      <c r="C23" s="1">
        <v>16408.86</v>
      </c>
      <c r="E23" s="8">
        <v>14</v>
      </c>
      <c r="F23" s="1">
        <v>11</v>
      </c>
      <c r="H23" s="8">
        <v>14</v>
      </c>
      <c r="I23" s="1">
        <v>1491.7145454545455</v>
      </c>
    </row>
    <row r="24" spans="2:9" x14ac:dyDescent="0.25">
      <c r="B24" s="8">
        <v>15</v>
      </c>
      <c r="C24" s="1">
        <v>22744.039999999997</v>
      </c>
      <c r="E24" s="8">
        <v>15</v>
      </c>
      <c r="F24" s="1">
        <v>13</v>
      </c>
      <c r="H24" s="8">
        <v>15</v>
      </c>
      <c r="I24" s="1">
        <v>1749.5415384615383</v>
      </c>
    </row>
    <row r="25" spans="2:9" x14ac:dyDescent="0.25">
      <c r="B25" s="8">
        <v>16</v>
      </c>
      <c r="C25" s="1">
        <v>13836.43</v>
      </c>
      <c r="E25" s="8">
        <v>16</v>
      </c>
      <c r="F25" s="1">
        <v>8</v>
      </c>
      <c r="H25" s="8">
        <v>16</v>
      </c>
      <c r="I25" s="1">
        <v>1729.55375</v>
      </c>
    </row>
    <row r="26" spans="2:9" x14ac:dyDescent="0.25">
      <c r="B26" s="8">
        <v>17</v>
      </c>
      <c r="C26" s="1">
        <v>12325.659999999998</v>
      </c>
      <c r="E26" s="8">
        <v>17</v>
      </c>
      <c r="F26" s="1">
        <v>7</v>
      </c>
      <c r="H26" s="8">
        <v>17</v>
      </c>
      <c r="I26" s="1">
        <v>1760.8085714285712</v>
      </c>
    </row>
    <row r="27" spans="2:9" x14ac:dyDescent="0.25">
      <c r="B27" s="8">
        <v>18</v>
      </c>
      <c r="C27" s="1">
        <v>23699.390000000007</v>
      </c>
      <c r="E27" s="8">
        <v>18</v>
      </c>
      <c r="F27" s="1">
        <v>15</v>
      </c>
      <c r="H27" s="8">
        <v>18</v>
      </c>
      <c r="I27" s="1">
        <v>1579.9593333333337</v>
      </c>
    </row>
    <row r="28" spans="2:9" x14ac:dyDescent="0.25">
      <c r="B28" s="8">
        <v>19</v>
      </c>
      <c r="C28" s="1">
        <v>21515.260000000002</v>
      </c>
      <c r="E28" s="8">
        <v>19</v>
      </c>
      <c r="F28" s="1">
        <v>11</v>
      </c>
      <c r="H28" s="8">
        <v>19</v>
      </c>
      <c r="I28" s="1">
        <v>1955.9327272727276</v>
      </c>
    </row>
    <row r="29" spans="2:9" x14ac:dyDescent="0.25">
      <c r="B29" s="8">
        <v>20</v>
      </c>
      <c r="C29" s="1">
        <v>26160.66</v>
      </c>
      <c r="E29" s="8">
        <v>20</v>
      </c>
      <c r="F29" s="1">
        <v>18</v>
      </c>
      <c r="H29" s="8">
        <v>20</v>
      </c>
      <c r="I29" s="1">
        <v>1538.8623529411764</v>
      </c>
    </row>
    <row r="34" spans="2:9" x14ac:dyDescent="0.25">
      <c r="B34" s="7" t="s">
        <v>272</v>
      </c>
      <c r="C34" t="s">
        <v>275</v>
      </c>
      <c r="E34" s="7" t="s">
        <v>272</v>
      </c>
      <c r="F34" t="s">
        <v>263</v>
      </c>
      <c r="H34" s="7" t="s">
        <v>272</v>
      </c>
      <c r="I34" t="s">
        <v>263</v>
      </c>
    </row>
    <row r="35" spans="2:9" x14ac:dyDescent="0.25">
      <c r="B35" s="8">
        <v>1</v>
      </c>
      <c r="C35" s="6">
        <v>6.236111111111111E-2</v>
      </c>
      <c r="E35" s="8" t="s">
        <v>21</v>
      </c>
      <c r="F35" s="1">
        <v>135593.70000000001</v>
      </c>
      <c r="H35" s="8" t="s">
        <v>31</v>
      </c>
      <c r="I35" s="1">
        <v>118069.17999999998</v>
      </c>
    </row>
    <row r="36" spans="2:9" x14ac:dyDescent="0.25">
      <c r="B36" s="8">
        <v>2</v>
      </c>
      <c r="C36" s="6">
        <v>5.6448412698412706E-2</v>
      </c>
      <c r="E36" s="8" t="s">
        <v>29</v>
      </c>
      <c r="F36" s="1">
        <v>120996.01000000001</v>
      </c>
      <c r="H36" s="8" t="s">
        <v>18</v>
      </c>
      <c r="I36" s="1">
        <v>125328.83</v>
      </c>
    </row>
    <row r="37" spans="2:9" x14ac:dyDescent="0.25">
      <c r="B37" s="8">
        <v>3</v>
      </c>
      <c r="C37" s="6">
        <v>6.1954365079365081E-2</v>
      </c>
      <c r="E37" s="8" t="s">
        <v>34</v>
      </c>
      <c r="F37" s="1">
        <v>106122.9</v>
      </c>
      <c r="H37" s="8" t="s">
        <v>28</v>
      </c>
      <c r="I37" s="1">
        <v>117790.34000000001</v>
      </c>
    </row>
    <row r="38" spans="2:9" x14ac:dyDescent="0.25">
      <c r="B38" s="8">
        <v>4</v>
      </c>
      <c r="C38" s="6">
        <v>6.5476190476190479E-2</v>
      </c>
      <c r="H38" s="8" t="s">
        <v>282</v>
      </c>
      <c r="I38" s="1">
        <v>1524.26</v>
      </c>
    </row>
    <row r="39" spans="2:9" x14ac:dyDescent="0.25">
      <c r="B39" s="8">
        <v>5</v>
      </c>
      <c r="C39" s="6">
        <v>6.0565476190476197E-2</v>
      </c>
    </row>
    <row r="40" spans="2:9" x14ac:dyDescent="0.25">
      <c r="B40" s="8">
        <v>6</v>
      </c>
      <c r="C40" s="6">
        <v>6.9940476190476192E-2</v>
      </c>
    </row>
    <row r="41" spans="2:9" x14ac:dyDescent="0.25">
      <c r="B41" s="8">
        <v>7</v>
      </c>
      <c r="C41" s="6">
        <v>6.3454861111111108E-2</v>
      </c>
      <c r="E41" s="7" t="s">
        <v>272</v>
      </c>
      <c r="F41" t="s">
        <v>263</v>
      </c>
      <c r="H41" s="7" t="s">
        <v>272</v>
      </c>
      <c r="I41" t="s">
        <v>276</v>
      </c>
    </row>
    <row r="42" spans="2:9" x14ac:dyDescent="0.25">
      <c r="B42" s="8">
        <v>8</v>
      </c>
      <c r="C42" s="6">
        <v>5.9882478632478635E-2</v>
      </c>
      <c r="E42" s="9">
        <v>46235</v>
      </c>
      <c r="F42" s="1">
        <v>6429.91</v>
      </c>
      <c r="H42" s="8">
        <v>1</v>
      </c>
      <c r="I42" s="1">
        <v>38</v>
      </c>
    </row>
    <row r="43" spans="2:9" x14ac:dyDescent="0.25">
      <c r="B43" s="8">
        <v>9</v>
      </c>
      <c r="C43" s="6">
        <v>6.760912698412698E-2</v>
      </c>
      <c r="E43" s="9">
        <v>46236</v>
      </c>
      <c r="F43" s="1">
        <v>9333.42</v>
      </c>
      <c r="H43" s="8">
        <v>2</v>
      </c>
      <c r="I43" s="1">
        <v>72</v>
      </c>
    </row>
    <row r="44" spans="2:9" x14ac:dyDescent="0.25">
      <c r="B44" s="8">
        <v>10</v>
      </c>
      <c r="C44" s="6">
        <v>7.0328282828282837E-2</v>
      </c>
      <c r="E44" s="9">
        <v>46237</v>
      </c>
      <c r="F44" s="1">
        <v>8388.39</v>
      </c>
      <c r="H44" s="8">
        <v>3</v>
      </c>
      <c r="I44" s="1">
        <v>55</v>
      </c>
    </row>
    <row r="45" spans="2:9" x14ac:dyDescent="0.25">
      <c r="B45" s="8">
        <v>11</v>
      </c>
      <c r="C45" s="6">
        <v>6.2708333333333338E-2</v>
      </c>
      <c r="E45" s="9">
        <v>46238</v>
      </c>
      <c r="F45" s="1">
        <v>10170.980000000001</v>
      </c>
      <c r="H45" s="8">
        <v>4</v>
      </c>
      <c r="I45" s="1">
        <v>37</v>
      </c>
    </row>
    <row r="46" spans="2:9" x14ac:dyDescent="0.25">
      <c r="B46" s="8">
        <v>12</v>
      </c>
      <c r="C46" s="6">
        <v>6.2638888888888883E-2</v>
      </c>
      <c r="E46" s="9">
        <v>46239</v>
      </c>
      <c r="F46" s="1">
        <v>13765.69</v>
      </c>
      <c r="H46" s="8">
        <v>5</v>
      </c>
      <c r="I46" s="1">
        <v>60</v>
      </c>
    </row>
    <row r="47" spans="2:9" x14ac:dyDescent="0.25">
      <c r="B47" s="8">
        <v>13</v>
      </c>
      <c r="C47" s="6">
        <v>6.3020833333333331E-2</v>
      </c>
      <c r="E47" s="9">
        <v>46240</v>
      </c>
      <c r="F47" s="1">
        <v>13044.630000000001</v>
      </c>
      <c r="H47" s="8">
        <v>6</v>
      </c>
      <c r="I47" s="1">
        <v>24</v>
      </c>
    </row>
    <row r="48" spans="2:9" x14ac:dyDescent="0.25">
      <c r="B48" s="8">
        <v>14</v>
      </c>
      <c r="C48" s="6">
        <v>6.4204545454545459E-2</v>
      </c>
      <c r="E48" s="9">
        <v>46241</v>
      </c>
      <c r="F48" s="1">
        <v>7348.11</v>
      </c>
      <c r="H48" s="8">
        <v>7</v>
      </c>
      <c r="I48" s="1">
        <v>33</v>
      </c>
    </row>
    <row r="49" spans="2:9" x14ac:dyDescent="0.25">
      <c r="B49" s="8">
        <v>15</v>
      </c>
      <c r="C49" s="6">
        <v>6.2393162393162394E-2</v>
      </c>
      <c r="E49" s="9">
        <v>46242</v>
      </c>
      <c r="F49" s="1">
        <v>18757.28</v>
      </c>
      <c r="H49" s="8">
        <v>8</v>
      </c>
      <c r="I49" s="1">
        <v>65</v>
      </c>
    </row>
    <row r="50" spans="2:9" x14ac:dyDescent="0.25">
      <c r="B50" s="8">
        <v>16</v>
      </c>
      <c r="C50" s="6">
        <v>5.6597222222222222E-2</v>
      </c>
      <c r="E50" s="9">
        <v>46243</v>
      </c>
      <c r="F50" s="1">
        <v>12012.470000000001</v>
      </c>
      <c r="H50" s="8">
        <v>9</v>
      </c>
      <c r="I50" s="1">
        <v>46</v>
      </c>
    </row>
    <row r="51" spans="2:9" x14ac:dyDescent="0.25">
      <c r="B51" s="8">
        <v>17</v>
      </c>
      <c r="C51" s="6">
        <v>5.1488095238095236E-2</v>
      </c>
      <c r="E51" s="9">
        <v>46244</v>
      </c>
      <c r="F51" s="1">
        <v>17306.320000000003</v>
      </c>
      <c r="H51" s="8">
        <v>10</v>
      </c>
      <c r="I51" s="1">
        <v>49</v>
      </c>
    </row>
    <row r="52" spans="2:9" x14ac:dyDescent="0.25">
      <c r="B52" s="8">
        <v>18</v>
      </c>
      <c r="C52" s="6">
        <v>6.236111111111111E-2</v>
      </c>
      <c r="E52" s="9">
        <v>46245</v>
      </c>
      <c r="F52" s="1">
        <v>13265.820000000002</v>
      </c>
      <c r="H52" s="8">
        <v>11</v>
      </c>
      <c r="I52" s="1">
        <v>47</v>
      </c>
    </row>
    <row r="53" spans="2:9" x14ac:dyDescent="0.25">
      <c r="B53" s="8">
        <v>19</v>
      </c>
      <c r="C53" s="6">
        <v>6.483585858585858E-2</v>
      </c>
      <c r="E53" s="9">
        <v>46246</v>
      </c>
      <c r="F53" s="1">
        <v>7390.49</v>
      </c>
      <c r="H53" s="8">
        <v>12</v>
      </c>
      <c r="I53" s="1">
        <v>22</v>
      </c>
    </row>
    <row r="54" spans="2:9" x14ac:dyDescent="0.25">
      <c r="B54" s="8">
        <v>20</v>
      </c>
      <c r="C54" s="6">
        <v>5.949074074074074E-2</v>
      </c>
      <c r="E54" s="9">
        <v>46247</v>
      </c>
      <c r="F54" s="1">
        <v>17604.71</v>
      </c>
      <c r="H54" s="8">
        <v>13</v>
      </c>
      <c r="I54" s="1">
        <v>34</v>
      </c>
    </row>
    <row r="55" spans="2:9" x14ac:dyDescent="0.25">
      <c r="E55" s="9">
        <v>46248</v>
      </c>
      <c r="F55" s="1">
        <v>20271.649999999994</v>
      </c>
      <c r="H55" s="8">
        <v>14</v>
      </c>
      <c r="I55" s="1">
        <v>48</v>
      </c>
    </row>
    <row r="56" spans="2:9" x14ac:dyDescent="0.25">
      <c r="E56" s="9">
        <v>46249</v>
      </c>
      <c r="F56" s="1">
        <v>12517.94</v>
      </c>
      <c r="H56" s="8">
        <v>15</v>
      </c>
      <c r="I56" s="1">
        <v>52</v>
      </c>
    </row>
    <row r="57" spans="2:9" x14ac:dyDescent="0.25">
      <c r="E57" s="9">
        <v>46250</v>
      </c>
      <c r="F57" s="1">
        <v>13234.280000000002</v>
      </c>
      <c r="H57" s="8">
        <v>16</v>
      </c>
      <c r="I57" s="1">
        <v>23</v>
      </c>
    </row>
    <row r="58" spans="2:9" x14ac:dyDescent="0.25">
      <c r="E58" s="9">
        <v>46251</v>
      </c>
      <c r="F58" s="1">
        <v>8668.09</v>
      </c>
      <c r="H58" s="8">
        <v>17</v>
      </c>
      <c r="I58" s="1">
        <v>36</v>
      </c>
    </row>
    <row r="59" spans="2:9" x14ac:dyDescent="0.25">
      <c r="E59" s="9">
        <v>46252</v>
      </c>
      <c r="F59" s="1">
        <v>15419.85</v>
      </c>
      <c r="H59" s="8">
        <v>18</v>
      </c>
      <c r="I59" s="1">
        <v>66</v>
      </c>
    </row>
    <row r="60" spans="2:9" x14ac:dyDescent="0.25">
      <c r="E60" s="9">
        <v>46253</v>
      </c>
      <c r="F60" s="1">
        <v>10192.59</v>
      </c>
      <c r="H60" s="8">
        <v>19</v>
      </c>
      <c r="I60" s="1">
        <v>62</v>
      </c>
    </row>
    <row r="61" spans="2:9" x14ac:dyDescent="0.25">
      <c r="E61" s="9">
        <v>46254</v>
      </c>
      <c r="F61" s="1">
        <v>9538.11</v>
      </c>
      <c r="H61" s="8">
        <v>20</v>
      </c>
      <c r="I61" s="1">
        <v>81</v>
      </c>
    </row>
    <row r="62" spans="2:9" x14ac:dyDescent="0.25">
      <c r="E62" s="9">
        <v>46255</v>
      </c>
      <c r="F62" s="1">
        <v>7355.41</v>
      </c>
    </row>
    <row r="63" spans="2:9" x14ac:dyDescent="0.25">
      <c r="E63" s="9">
        <v>46256</v>
      </c>
      <c r="F63" s="1">
        <v>13414.55</v>
      </c>
    </row>
    <row r="64" spans="2:9" x14ac:dyDescent="0.25">
      <c r="E64" s="9">
        <v>46257</v>
      </c>
      <c r="F64" s="1">
        <v>10329.629999999999</v>
      </c>
    </row>
    <row r="65" spans="5:6" x14ac:dyDescent="0.25">
      <c r="E65" s="9">
        <v>46258</v>
      </c>
      <c r="F65" s="1">
        <v>8776.7999999999993</v>
      </c>
    </row>
    <row r="66" spans="5:6" x14ac:dyDescent="0.25">
      <c r="E66" s="9">
        <v>46259</v>
      </c>
      <c r="F66" s="1">
        <v>8110.09</v>
      </c>
    </row>
    <row r="67" spans="5:6" x14ac:dyDescent="0.25">
      <c r="E67" s="9">
        <v>46260</v>
      </c>
      <c r="F67" s="1">
        <v>23406.73</v>
      </c>
    </row>
    <row r="68" spans="5:6" x14ac:dyDescent="0.25">
      <c r="E68" s="9">
        <v>46261</v>
      </c>
      <c r="F68" s="1">
        <v>5204.4799999999996</v>
      </c>
    </row>
    <row r="69" spans="5:6" x14ac:dyDescent="0.25">
      <c r="E69" s="9">
        <v>46262</v>
      </c>
      <c r="F69" s="1">
        <v>14967.240000000002</v>
      </c>
    </row>
    <row r="70" spans="5:6" x14ac:dyDescent="0.25">
      <c r="E70" s="9">
        <v>46263</v>
      </c>
      <c r="F70" s="1">
        <v>7917.13</v>
      </c>
    </row>
    <row r="71" spans="5:6" x14ac:dyDescent="0.25">
      <c r="E71" s="9">
        <v>46264</v>
      </c>
      <c r="F71" s="1">
        <v>14411.660000000002</v>
      </c>
    </row>
    <row r="72" spans="5:6" x14ac:dyDescent="0.25">
      <c r="E72" s="9">
        <v>46265</v>
      </c>
      <c r="F72" s="1">
        <v>4158.16</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8568A-6D20-4AD7-B603-C748742C167E}">
  <dimension ref="A1"/>
  <sheetViews>
    <sheetView topLeftCell="A9" workbookViewId="0">
      <selection activeCell="G34" sqref="G34"/>
    </sheetView>
  </sheetViews>
  <sheetFormatPr defaultRowHeight="13.8"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6021F-074A-4014-88DA-2471355FDC82}">
  <dimension ref="F18"/>
  <sheetViews>
    <sheetView showGridLines="0" tabSelected="1" zoomScale="58" zoomScaleNormal="100" workbookViewId="0">
      <selection activeCell="R64" sqref="R64"/>
    </sheetView>
  </sheetViews>
  <sheetFormatPr defaultRowHeight="13.2" x14ac:dyDescent="0.3"/>
  <cols>
    <col min="1" max="16384" width="8.796875" style="10"/>
  </cols>
  <sheetData>
    <row r="18" spans="6:6" x14ac:dyDescent="0.3">
      <c r="F18"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EBFDD9-82B5-47A9-872B-382DD69EC1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Restaurant_Table_Cleaned_Data</vt:lpstr>
      <vt:lpstr>KPI Analysis</vt:lpstr>
      <vt:lpstr>Pivot Table</vt:lpstr>
      <vt:lpstr>Charts</vt:lpstr>
      <vt:lpstr>Dashboard</vt:lpstr>
      <vt:lpstr>Restaurant_Table_Turnover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Prithviraj Babar</dc:creator>
  <cp:lastModifiedBy>Prithviraj Babar</cp:lastModifiedBy>
  <cp:lastPrinted>2026-10-02T17:24:06Z</cp:lastPrinted>
  <dcterms:created xsi:type="dcterms:W3CDTF">2026-09-30T10:03:50Z</dcterms:created>
  <dcterms:modified xsi:type="dcterms:W3CDTF">2026-10-06T16:35:36Z</dcterms:modified>
</cp:coreProperties>
</file>